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fe870c2b6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board" sheetId="1" r:id="Re188a23b2346488c"/>
    <x:sheet xmlns:r="http://schemas.openxmlformats.org/officeDocument/2006/relationships" name="Task Registry" sheetId="2" r:id="Rc81a46c937434c28"/>
    <x:sheet xmlns:r="http://schemas.openxmlformats.org/officeDocument/2006/relationships" name="Proof Gates" sheetId="3" r:id="Rb78125be9a5d46d4"/>
    <x:sheet xmlns:r="http://schemas.openxmlformats.org/officeDocument/2006/relationships" name="Timeline" sheetId="4" r:id="R95b407d689f848d3"/>
    <x:sheet xmlns:r="http://schemas.openxmlformats.org/officeDocument/2006/relationships" name="Risks &amp; Decisions" sheetId="5" r:id="R5cebf8ec1e6b4c34"/>
    <x:sheet xmlns:r="http://schemas.openxmlformats.org/officeDocument/2006/relationships" name="Unit Definitions" sheetId="6" r:id="R6defa4324dd04b5a"/>
    <x:sheet xmlns:r="http://schemas.openxmlformats.org/officeDocument/2006/relationships" name="Spine Control" sheetId="7" r:id="R2e340b688e3f4257"/>
    <x:sheet xmlns:r="http://schemas.openxmlformats.org/officeDocument/2006/relationships" name="Workforce Queue" sheetId="8" r:id="R16ac51a5f9454241"/>
    <x:sheet xmlns:r="http://schemas.openxmlformats.org/officeDocument/2006/relationships" name="Adaptive Router" sheetId="9" r:id="R56140340d68344c1"/>
    <x:sheet xmlns:r="http://schemas.openxmlformats.org/officeDocument/2006/relationships" name="Role Registry" sheetId="10" r:id="Rc617ceaa6bac4eb6"/>
    <x:sheet xmlns:r="http://schemas.openxmlformats.org/officeDocument/2006/relationships" name="Unknown Task Protocol" sheetId="11" r:id="R5dc74b9bfdfc422e"/>
    <x:sheet xmlns:r="http://schemas.openxmlformats.org/officeDocument/2006/relationships" name="Edge Case Trials" sheetId="12" r:id="R791ce836a5154553"/>
    <x:sheet xmlns:r="http://schemas.openxmlformats.org/officeDocument/2006/relationships" name="Receipt Schema" sheetId="13" r:id="Rfb19df8c8a3e4967"/>
    <x:sheet xmlns:r="http://schemas.openxmlformats.org/officeDocument/2006/relationships" name="Prompt Library" sheetId="14" r:id="R7493466485a946c5"/>
    <x:sheet xmlns:r="http://schemas.openxmlformats.org/officeDocument/2006/relationships" name="Source Notes" sheetId="15" r:id="Rd82874f17494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ddd m/d h:mm AM/PM"/>
    <x:numFmt numFmtId="202" formatCode="0.00 &quot;hours&quot;"/>
    <x:numFmt numFmtId="203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8"/>
      <x:color rgb="FF111827"/>
      <x:name val="Carlito"/>
    </x:font>
    <x:font>
      <x:b/>
      <x:sz val="16"/>
      <x:color rgb="FF111827"/>
      <x:name val="Carlito"/>
    </x:font>
    <x:font>
      <x:b/>
      <x:sz val="14"/>
      <x:color rgb="FFFFFFFF"/>
      <x:name val="Carlito"/>
    </x:font>
    <x:font>
      <x:sz val="11"/>
      <x:color rgb="FF111827"/>
      <x:name val="Carlito"/>
    </x:font>
    <x:font>
      <x:b/>
      <x:sz val="16"/>
      <x:color rgb="FFFFFFFF"/>
      <x:name val="Carlito"/>
    </x:font>
    <x:font>
      <x:b/>
      <x:sz val="18"/>
      <x:color rgb="FF0F172A"/>
      <x:name val="Carlito"/>
    </x:font>
    <x:font>
      <x:sz val="11"/>
      <x:name val="Consolas"/>
    </x:font>
  </x:fonts>
  <x:fills count="1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2563EB"/>
      </x:patternFill>
    </x:fill>
    <x:fill>
      <x:patternFill patternType="solid">
        <x:fgColor rgb="FFF3F4F6"/>
      </x:patternFill>
    </x:fill>
    <x:fill>
      <x:patternFill patternType="solid">
        <x:fgColor rgb="FF0891B2"/>
      </x:patternFill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0891B2"/>
      </x:patternFill>
    </x:fill>
    <x:fill>
      <x:patternFill patternType="solid">
        <x:fgColor rgb="FFBAE6FD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1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/>
    </x:xf>
    <x:xf numFmtId="0" fontId="4" fillId="5" borderId="0" xfId="0" applyNumberFormat="1" applyFont="1" applyFill="1" applyBorder="1" applyAlignment="1">
      <x:alignment horizontal="center" vertical="top"/>
    </x:xf>
    <x:xf numFmtId="0" fontId="2" fillId="6" borderId="0" xfId="0" applyNumberFormat="1" applyFont="1" applyFill="1" applyBorder="1" applyAlignment="1">
      <x:alignment horizontal="center" vertical="top"/>
    </x:xf>
    <x:xf numFmtId="202" fontId="5" fillId="5" borderId="0" xfId="0" applyNumberFormat="1" applyFont="1" applyFill="1" applyBorder="1" applyAlignment="1">
      <x:alignment horizontal="center" vertical="top"/>
    </x:xf>
    <x:xf numFmtId="0" fontId="5" fillId="5" borderId="0" xfId="0" applyNumberFormat="1" applyFont="1" applyFill="1" applyBorder="1" applyAlignment="1">
      <x:alignment horizontal="center" vertical="top"/>
    </x:xf>
    <x:xf numFmtId="0" fontId="6" fillId="3" borderId="0" xfId="0" applyNumberFormat="1" applyFont="1" applyFill="1" applyBorder="1" applyAlignment="1">
      <x:alignment horizontal="center" vertical="top"/>
    </x:xf>
    <x:xf numFmtId="0" fontId="2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 vertical="top"/>
    </x:xf>
    <x:xf numFmtId="0" fontId="2" fillId="6" borderId="1" xfId="0" applyNumberFormat="1" applyFont="1" applyFill="1" applyBorder="1" applyAlignment="1">
      <x:alignment horizontal="center" vertical="top"/>
    </x:xf>
    <x:xf numFmtId="202" fontId="5" fillId="5" borderId="1" xfId="0" applyNumberFormat="1" applyFont="1" applyFill="1" applyBorder="1" applyAlignment="1">
      <x:alignment horizontal="center" vertical="top"/>
    </x:xf>
    <x:xf numFmtId="0" fontId="5" fillId="5" borderId="1" xfId="0" applyNumberFormat="1" applyFont="1" applyFill="1" applyBorder="1" applyAlignment="1">
      <x:alignment horizontal="center" vertical="top"/>
    </x:xf>
    <x:xf numFmtId="0" fontId="6" fillId="3" borderId="1" xfId="0" applyNumberFormat="1" applyFont="1" applyFill="1" applyBorder="1" applyAlignment="1">
      <x:alignment horizontal="center" vertical="top"/>
    </x:xf>
    <x:xf numFmtId="0" fontId="2" fillId="4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xfId="0" applyNumberFormat="1" applyFont="1" applyFill="1" applyBorder="0"/>
    <x:xf numFmtId="0" fontId="2" fillId="9" xfId="0" applyNumberFormat="1" applyFont="1" applyFill="1" applyBorder="0" applyAlignment="1">
      <x:alignment wrapText="1"/>
    </x:xf>
    <x:xf numFmtId="0" fontId="2" fillId="9" xfId="0" applyNumberFormat="1" applyFont="1" applyFill="1" applyBorder="0" applyAlignment="1">
      <x:alignment horizontal="center" wrapText="1"/>
    </x:xf>
    <x:xf numFmtId="0" fontId="2" fillId="9" xfId="0" applyNumberFormat="1" applyFont="1" applyFill="1" applyBorder="0" applyAlignment="1">
      <x:alignment horizontal="center"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 applyAlignment="1">
      <x:alignment horizontal="center" vertical="center"/>
    </x:xf>
    <x:xf numFmtId="200" fontId="9" fillId="10" borderId="0" xfId="0" applyNumberFormat="1" applyFont="1" applyFill="1" applyBorder="1" applyAlignment="1">
      <x:alignment horizontal="center" vertical="center"/>
    </x:xf>
    <x:xf numFmtId="203" fontId="9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xfId="0" applyNumberFormat="1" applyFont="1" applyFill="1" applyBorder="0"/>
    <x:xf numFmtId="0" fontId="2" fillId="11" xfId="0" applyNumberFormat="1" applyFont="1" applyFill="1" applyBorder="0" applyAlignment="1">
      <x:alignment wrapText="1"/>
    </x:xf>
    <x:xf numFmtId="0" fontId="2" fillId="11" xfId="0" applyNumberFormat="1" applyFont="1" applyFill="1" applyBorder="0" applyAlignment="1">
      <x:alignment horizontal="center" wrapText="1"/>
    </x:xf>
    <x:xf numFmtId="0" fontId="2" fillId="11" xfId="0" applyNumberFormat="1" applyFont="1" applyFill="1" applyBorder="0" applyAlignment="1">
      <x:alignment horizontal="center" vertical="center" wrapText="1"/>
    </x:xf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200" fontId="0" fillId="12" borderId="0" xfId="0" applyNumberFormat="1" applyFont="1" applyFill="1" applyBorder="1" applyAlignment="1">
      <x:alignment vertical="top" wrapText="1"/>
    </x:xf>
    <x:xf numFmtId="203" fontId="0" fillId="12" borderId="0" xfId="0" applyNumberFormat="1" applyFont="1" applyFill="1" applyBorder="1" applyAlignment="1">
      <x:alignment vertical="top" wrapText="1"/>
    </x:xf>
    <x:xf numFmtId="201" fontId="0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8"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1E40AF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7F1D1D"/>
      </x:font>
      <x:fill>
        <x:patternFill>
          <x:bgColor rgb="FFFECACA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ill>
        <x:patternFill patternType="solid">
          <x:bgColor rgb="FFE0F2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6c043826c4fd8" /><Relationship Type="http://schemas.openxmlformats.org/officeDocument/2006/relationships/theme" Target="/xl/theme/theme1.xml" Id="R3679fdf7ee75494d" /><Relationship Type="http://schemas.openxmlformats.org/officeDocument/2006/relationships/sharedStrings" Target="/xl/sharedStrings.xml" Id="Rca9bf1cb605b4200" /><Relationship Type="http://schemas.openxmlformats.org/officeDocument/2006/relationships/worksheet" Target="/xl/worksheets/sheet1.xml" Id="Re188a23b2346488c" /><Relationship Type="http://schemas.openxmlformats.org/officeDocument/2006/relationships/worksheet" Target="/xl/worksheets/sheet2.xml" Id="Rc81a46c937434c28" /><Relationship Type="http://schemas.openxmlformats.org/officeDocument/2006/relationships/worksheet" Target="/xl/worksheets/sheet3.xml" Id="Rb78125be9a5d46d4" /><Relationship Type="http://schemas.openxmlformats.org/officeDocument/2006/relationships/worksheet" Target="/xl/worksheets/sheet4.xml" Id="R95b407d689f848d3" /><Relationship Type="http://schemas.openxmlformats.org/officeDocument/2006/relationships/worksheet" Target="/xl/worksheets/sheet5.xml" Id="R5cebf8ec1e6b4c34" /><Relationship Type="http://schemas.openxmlformats.org/officeDocument/2006/relationships/worksheet" Target="/xl/worksheets/sheet6.xml" Id="R6defa4324dd04b5a" /><Relationship Type="http://schemas.openxmlformats.org/officeDocument/2006/relationships/worksheet" Target="/xl/worksheets/sheet7.xml" Id="R2e340b688e3f4257" /><Relationship Type="http://schemas.openxmlformats.org/officeDocument/2006/relationships/worksheet" Target="/xl/worksheets/sheet8.xml" Id="R16ac51a5f9454241" /><Relationship Type="http://schemas.openxmlformats.org/officeDocument/2006/relationships/worksheet" Target="/xl/worksheets/sheet9.xml" Id="R56140340d68344c1" /><Relationship Type="http://schemas.openxmlformats.org/officeDocument/2006/relationships/worksheet" Target="/xl/worksheets/sheet10.xml" Id="Rc617ceaa6bac4eb6" /><Relationship Type="http://schemas.openxmlformats.org/officeDocument/2006/relationships/worksheet" Target="/xl/worksheets/sheet11.xml" Id="R5dc74b9bfdfc422e" /><Relationship Type="http://schemas.openxmlformats.org/officeDocument/2006/relationships/worksheet" Target="/xl/worksheets/sheet12.xml" Id="R791ce836a5154553" /><Relationship Type="http://schemas.openxmlformats.org/officeDocument/2006/relationships/worksheet" Target="/xl/worksheets/sheet13.xml" Id="Rfb19df8c8a3e4967" /><Relationship Type="http://schemas.openxmlformats.org/officeDocument/2006/relationships/worksheet" Target="/xl/worksheets/sheet14.xml" Id="R7493466485a946c5" /><Relationship Type="http://schemas.openxmlformats.org/officeDocument/2006/relationships/worksheet" Target="/xl/worksheets/sheet15.xml" Id="Rd82874f1749449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701d2333f643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Focused Hours by Sprint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Purpose</c:v>
          </c:tx>
          <c:cat>
            <c:strRef>
              <c:f>'Warboard'!$A$15:$A$20</c:f>
              <c:strCache>
                <c:ptCount val="0"/>
              </c:strCache>
            </c:strRef>
          </c:cat>
          <c:val>
            <c:numRef>
              <c:f>'Warboard'!$B$15:$B$20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Est. Hours</c:v>
          </c:tx>
          <c:cat>
            <c:strRef>
              <c:f>'Warboard'!$A$15:$A$20</c:f>
              <c:strCache>
                <c:ptCount val="0"/>
              </c:strCache>
            </c:strRef>
          </c:cat>
          <c:val>
            <c:numRef>
              <c:f>'Warboard'!$C$15:$C$20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701d2333f643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SprintSummary" displayName="SprintSummary" ref="A14:H20" headerRowCount="1">
  <x:tableColumns count="8">
    <x:tableColumn id="1" name="Sprint"/>
    <x:tableColumn id="2" name="Purpose"/>
    <x:tableColumn id="3" name="Est. Hours"/>
    <x:tableColumn id="4" name="Remaining Hours"/>
    <x:tableColumn id="5" name="TAU"/>
    <x:tableColumn id="6" name="Proof Packets"/>
    <x:tableColumn id="7" name="Exit Gate"/>
    <x:tableColumn id="8" name="Hard Stop"/>
  </x:tableColumns>
  <x:tableStyleInfo name="TableStyleMedium2" showRowStripes="1"/>
</x:table>
</file>

<file path=xl/tables/table2.xml><?xml version="1.0" encoding="utf-8"?>
<x:table xmlns:x="http://schemas.openxmlformats.org/spreadsheetml/2006/main" id="1" name="PrometheusTasks" displayName="PrometheusTasks" ref="A1:Q58" headerRowCount="1">
  <x:tableColumns count="17">
    <x:tableColumn id="1" name="Task ID"/>
    <x:tableColumn id="2" name="Sprint"/>
    <x:tableColumn id="3" name="Workstream"/>
    <x:tableColumn id="4" name="Task"/>
    <x:tableColumn id="5" name="Owner Class"/>
    <x:tableColumn id="6" name="Priority"/>
    <x:tableColumn id="7" name="Status"/>
    <x:tableColumn id="8" name="Dependencies"/>
    <x:tableColumn id="9" name="Est. Hours"/>
    <x:tableColumn id="10" name="TAU"/>
    <x:tableColumn id="11" name="Proof Packets"/>
    <x:tableColumn id="12" name="Target Finish"/>
    <x:tableColumn id="13" name="Acceptance / Proof"/>
    <x:tableColumn id="14" name="Blocker"/>
    <x:tableColumn id="15" name="Claim Unlocked"/>
    <x:tableColumn id="16" name="Remaining Hours"/>
    <x:tableColumn id="17" name="Remaining TAU"/>
  </x:tableColumns>
  <x:tableStyleInfo name="TableStyleMedium2" showRowStripes="1"/>
</x:table>
</file>

<file path=xl/tables/table3.xml><?xml version="1.0" encoding="utf-8"?>
<x:table xmlns:x="http://schemas.openxmlformats.org/spreadsheetml/2006/main" id="2" name="ProofGates" displayName="ProofGates" ref="A1:E25" headerRowCount="1">
  <x:tableColumns count="5">
    <x:tableColumn id="1" name="Gate ID"/>
    <x:tableColumn id="2" name="Capability"/>
    <x:tableColumn id="3" name="Required Evidence"/>
    <x:tableColumn id="4" name="Current State"/>
    <x:tableColumn id="5" name="Mapped Tasks"/>
  </x:tableColumns>
  <x:tableStyleInfo name="TableStyleMedium2" showRowStripes="1"/>
</x:table>
</file>

<file path=xl/tables/table4.xml><?xml version="1.0" encoding="utf-8"?>
<x:table xmlns:x="http://schemas.openxmlformats.org/spreadsheetml/2006/main" id="3" name="ExecutionTimeline" displayName="ExecutionTimeline" ref="A1:F14" headerRowCount="1">
  <x:tableColumns count="6">
    <x:tableColumn id="1" name="Start"/>
    <x:tableColumn id="2" name="End"/>
    <x:tableColumn id="3" name="Lane"/>
    <x:tableColumn id="4" name="Focus"/>
    <x:tableColumn id="5" name="Exit Proof"/>
    <x:tableColumn id="6" name="Duration Hours"/>
  </x:tableColumns>
  <x:tableStyleInfo name="TableStyleMedium2" showRowStripes="1"/>
</x:table>
</file>

<file path=xl/tables/table5.xml><?xml version="1.0" encoding="utf-8"?>
<x:table xmlns:x="http://schemas.openxmlformats.org/spreadsheetml/2006/main" id="4" name="RiskRegister" displayName="RiskRegister" ref="A1:F11" headerRowCount="1">
  <x:tableColumns count="6">
    <x:tableColumn id="1" name="Risk ID"/>
    <x:tableColumn id="2" name="Severity"/>
    <x:tableColumn id="3" name="Risk"/>
    <x:tableColumn id="4" name="Mitigation / Decision Rule"/>
    <x:tableColumn id="5" name="Sprint"/>
    <x:tableColumn id="6" name="State"/>
  </x:tableColumns>
  <x:tableStyleInfo name="TableStyleMedium2" showRowStripes="1"/>
</x:table>
</file>

<file path=xl/tables/table6.xml><?xml version="1.0" encoding="utf-8"?>
<x:table xmlns:x="http://schemas.openxmlformats.org/spreadsheetml/2006/main" id="6" name="WorkforceQueueTable" displayName="WorkforceQueueTable" ref="A1:T58" headerRowCount="1">
  <x:tableColumns count="20">
    <x:tableColumn id="1" name="Task ID"/>
    <x:tableColumn id="2" name="Sprint"/>
    <x:tableColumn id="3" name="Workstream"/>
    <x:tableColumn id="4" name="Task"/>
    <x:tableColumn id="5" name="Owner Class"/>
    <x:tableColumn id="6" name="Priority"/>
    <x:tableColumn id="7" name="Status"/>
    <x:tableColumn id="8" name="Dependencies"/>
    <x:tableColumn id="9" name="Remaining Hours"/>
    <x:tableColumn id="10" name="Remaining TAU"/>
    <x:tableColumn id="11" name="Proof Packets"/>
    <x:tableColumn id="12" name="Target Finish"/>
    <x:tableColumn id="13" name="Execution Surface"/>
    <x:tableColumn id="14" name="Primary Role"/>
    <x:tableColumn id="15" name="Approval"/>
    <x:tableColumn id="16" name="Proof Class"/>
    <x:tableColumn id="17" name="Parallel"/>
    <x:tableColumn id="18" name="Acceptance / Proof"/>
    <x:tableColumn id="19" name="Blocker"/>
    <x:tableColumn id="20" name="Claim Unlocked"/>
  </x:tableColumns>
  <x:tableStyleInfo name="TableStyleMedium2" showRowStripes="1"/>
</x:table>
</file>

<file path=xl/tables/table7.xml><?xml version="1.0" encoding="utf-8"?>
<x:table xmlns:x="http://schemas.openxmlformats.org/spreadsheetml/2006/main" id="7" name="AdaptiveRouterTable" displayName="AdaptiveRouterTable" ref="A3:G21" headerRowCount="1">
  <x:tableColumns count="7">
    <x:tableColumn id="1" name="Archetype"/>
    <x:tableColumn id="2" name="Detection Signals"/>
    <x:tableColumn id="3" name="Primary Surface"/>
    <x:tableColumn id="4" name="Sparse Roles"/>
    <x:tableColumn id="5" name="Default Approval"/>
    <x:tableColumn id="6" name="Required Proof"/>
    <x:tableColumn id="7" name="Fallback"/>
  </x:tableColumns>
  <x:tableStyleInfo name="TableStyleMedium2" showRowStripes="1"/>
</x:table>
</file>

<file path=xl/tables/table8.xml><?xml version="1.0" encoding="utf-8"?>
<x:table xmlns:x="http://schemas.openxmlformats.org/spreadsheetml/2006/main" id="8" name="RoleRegistryTable" displayName="RoleRegistryTable" ref="A3:D38" headerRowCount="1">
  <x:tableColumns count="4">
    <x:tableColumn id="1" name="Role"/>
    <x:tableColumn id="2" name="Responsibility"/>
    <x:tableColumn id="3" name="Activation Trigger"/>
    <x:tableColumn id="4" name="Output Contract"/>
  </x:tableColumns>
  <x:tableStyleInfo name="TableStyleMedium2" showRowStripes="1"/>
</x:table>
</file>

<file path=xl/tables/table9.xml><?xml version="1.0" encoding="utf-8"?>
<x:table xmlns:x="http://schemas.openxmlformats.org/spreadsheetml/2006/main" id="9" name="EdgeCaseTrialsTable" displayName="EdgeCaseTrialsTable" ref="A3:F26" headerRowCount="1">
  <x:tableColumns count="6">
    <x:tableColumn id="1" name="Trial ID"/>
    <x:tableColumn id="2" name="Condition"/>
    <x:tableColumn id="3" name="Expected Behavior"/>
    <x:tableColumn id="4" name="Required Proof"/>
    <x:tableColumn id="5" name="Status"/>
    <x:tableColumn id="6" name="Observed Result"/>
  </x:tableColumns>
  <x:tableStyleInfo name="TableStyleMedium2" showRowStripes="1"/>
</x:table>
</file>

<file path=xl/tables/table10.xml><?xml version="1.0" encoding="utf-8"?>
<x:table xmlns:x="http://schemas.openxmlformats.org/spreadsheetml/2006/main" id="10" name="ReceiptSchemaTable" displayName="ReceiptSchemaTable" ref="A3:E18" headerRowCount="1">
  <x:tableColumns count="5">
    <x:tableColumn id="1" name="Field"/>
    <x:tableColumn id="2" name="Type"/>
    <x:tableColumn id="3" name="Meaning"/>
    <x:tableColumn id="4" name="Required"/>
    <x:tableColumn id="5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5020b26a0ea490a" /><Relationship Type="http://schemas.openxmlformats.org/officeDocument/2006/relationships/table" Target="/xl/tables/table1.xml" Id="R0d8edf44418946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d9838f249143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1b05c1d8824e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60477bd6104d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74f89ca269d44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1469f5df0f74f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2f1aa467eeb491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6f5adcdd27741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8bdbbcaa8b6b40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bc725ad4a8489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4" hidden="0" customWidth="1"/>
  </x:cols>
  <x:sheetData>
    <x:row r="1">
      <x:c r="A1" s="74" t="str">
        <x:v>PROMETHEUS V-1.1.1 | JANUS PRIME DEADLINE WARBOARD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</x:row>
    <x:row r="4">
      <x:c r="A4" s="76" t="str">
        <x:v>Active Baseline</x:v>
      </x:c>
      <x:c r="B4" s="77" t="str">
        <x:v>Last-known local implementation: 6d12685… / 17 tests passed; remote main contains canon but not the strong implementation.</x:v>
      </x:c>
      <x:c r="C4" s="75"/>
      <x:c r="D4" s="78" t="str">
        <x:v>Focused Hours Remaining</x:v>
      </x:c>
      <x:c r="E4" s="78"/>
      <x:c r="F4" s="78" t="str">
        <x:v>TAU Remaining</x:v>
      </x:c>
      <x:c r="G4" s="78"/>
      <x:c r="H4" s="78" t="str">
        <x:v>Proof Packets</x:v>
      </x:c>
      <x:c r="I4" s="78"/>
      <x:c r="J4" s="75"/>
    </x:row>
    <x:row r="5">
      <x:c r="A5" s="76" t="str">
        <x:v>Repository</x:v>
      </x:c>
      <x:c r="B5" s="77" t="str">
        <x:v>Atlas-Ascend/PROMETHEUS-AIS-V-1.1.1</x:v>
      </x:c>
      <x:c r="C5" s="75"/>
      <x:c r="D5" s="79" t="n">
        <x:f>SUM('Task Registry'!P2:P58)</x:f>
        <x:v>25.599999999999994</x:v>
      </x:c>
      <x:c r="E5" s="79"/>
      <x:c r="F5" s="79" t="n">
        <x:f>SUM('Task Registry'!Q2:Q58)</x:f>
        <x:v>1598</x:v>
      </x:c>
      <x:c r="G5" s="79"/>
      <x:c r="H5" s="79" t="n">
        <x:f>SUM('Task Registry'!K2:K58)</x:f>
        <x:v>106</x:v>
      </x:c>
      <x:c r="I5" s="79"/>
      <x:c r="J5" s="75"/>
    </x:row>
    <x:row r="6">
      <x:c r="A6" s="76" t="str">
        <x:v>Remote Head</x:v>
      </x:c>
      <x:c r="B6" s="77" t="str">
        <x:v>4f4c178… on main</x:v>
      </x:c>
      <x:c r="C6" s="75"/>
      <x:c r="D6" s="79"/>
      <x:c r="E6" s="79"/>
      <x:c r="F6" s="79"/>
      <x:c r="G6" s="79"/>
      <x:c r="H6" s="79"/>
      <x:c r="I6" s="79"/>
      <x:c r="J6" s="75"/>
    </x:row>
    <x:row r="7">
      <x:c r="A7" s="76" t="str">
        <x:v>Target Branch</x:v>
      </x:c>
      <x:c r="B7" s="77" t="str">
        <x:v>codex/ignition-kernel or reconciled descendant</x:v>
      </x:c>
      <x:c r="C7" s="75"/>
      <x:c r="D7" s="75"/>
      <x:c r="E7" s="75"/>
      <x:c r="F7" s="75"/>
      <x:c r="G7" s="75"/>
      <x:c r="H7" s="75"/>
      <x:c r="I7" s="75"/>
      <x:c r="J7" s="75"/>
    </x:row>
    <x:row r="8">
      <x:c r="A8" s="76" t="str">
        <x:v>Internal Deadline</x:v>
      </x:c>
      <x:c r="B8" s="77" t="str">
        <x:v>Monday, July 20, 2026 at 5:00 PM Pacific</x:v>
      </x:c>
      <x:c r="C8" s="75"/>
      <x:c r="D8" s="80" t="str">
        <x:v>Calendar Window</x:v>
      </x:c>
      <x:c r="E8" s="80"/>
      <x:c r="F8" s="80" t="str">
        <x:v>Recommended Sleep</x:v>
      </x:c>
      <x:c r="G8" s="80"/>
      <x:c r="H8" s="80" t="str">
        <x:v>Submission Buffer</x:v>
      </x:c>
      <x:c r="I8" s="80"/>
      <x:c r="J8" s="75"/>
    </x:row>
    <x:row r="9">
      <x:c r="A9" s="76" t="str">
        <x:v>Build Truth</x:v>
      </x:c>
      <x:c r="B9" s="77" t="str">
        <x:v>PROMETHEUS_V1_1_1_DEMO_PROVEN</x:v>
      </x:c>
      <x:c r="C9" s="75"/>
      <x:c r="D9" s="81" t="n">
        <x:f>(DATE(2026,7,20)+TIME(17,0,0)-(DATE(2026,7,19)+TIME(9,49,0)))*24</x:f>
        <x:v>31.183333344907407</x:v>
      </x:c>
      <x:c r="E9" s="82"/>
      <x:c r="F9" s="81" t="n">
        <x:v>6.75</x:v>
      </x:c>
      <x:c r="G9" s="82"/>
      <x:c r="H9" s="81" t="n">
        <x:v>1.5</x:v>
      </x:c>
      <x:c r="I9" s="82"/>
      <x:c r="J9" s="75"/>
    </x:row>
    <x:row r="10">
      <x:c r="A10" s="76" t="str">
        <x:v>Operating Mode</x:v>
      </x:c>
      <x:c r="B10" s="77" t="str">
        <x:v>Release closure, proof convergence, and submission</x:v>
      </x:c>
      <x:c r="C10" s="75"/>
      <x:c r="D10" s="82"/>
      <x:c r="E10" s="82"/>
      <x:c r="F10" s="82"/>
      <x:c r="G10" s="82"/>
      <x:c r="H10" s="82"/>
      <x:c r="I10" s="82"/>
      <x:c r="J10" s="75"/>
    </x:row>
    <x:row r="11">
      <x:c r="A11" s="75"/>
      <x:c r="B11" s="75"/>
      <x:c r="C11" s="75"/>
      <x:c r="D11" s="75"/>
      <x:c r="E11" s="75"/>
      <x:c r="F11" s="75"/>
      <x:c r="G11" s="75"/>
      <x:c r="H11" s="75"/>
      <x:c r="I11" s="75"/>
      <x:c r="J11" s="75"/>
    </x:row>
    <x:row r="12">
      <x:c r="A12" s="75"/>
      <x:c r="B12" s="75"/>
      <x:c r="C12" s="75"/>
      <x:c r="D12" s="75"/>
      <x:c r="E12" s="75"/>
      <x:c r="F12" s="75"/>
      <x:c r="G12" s="75"/>
      <x:c r="H12" s="75"/>
      <x:c r="I12" s="75"/>
      <x:c r="J12" s="75"/>
    </x:row>
    <x:row r="13">
      <x:c r="A13" s="83" t="str">
        <x:v>Sprint Summary and Critical Path</x:v>
      </x:c>
      <x:c r="B13" s="83"/>
      <x:c r="C13" s="83"/>
      <x:c r="D13" s="83"/>
      <x:c r="E13" s="83"/>
      <x:c r="F13" s="83"/>
      <x:c r="G13" s="83"/>
      <x:c r="H13" s="83"/>
      <x:c r="I13" s="75"/>
      <x:c r="J13" s="75"/>
    </x:row>
    <x:row r="14">
      <x:c r="A14" s="84" t="str">
        <x:v>Sprint</x:v>
      </x:c>
      <x:c r="B14" s="84" t="str">
        <x:v>Purpose</x:v>
      </x:c>
      <x:c r="C14" s="84" t="str">
        <x:v>Est. Hours</x:v>
      </x:c>
      <x:c r="D14" s="84" t="str">
        <x:v>Remaining Hours</x:v>
      </x:c>
      <x:c r="E14" s="84" t="str">
        <x:v>TAU</x:v>
      </x:c>
      <x:c r="F14" s="84" t="str">
        <x:v>Proof Packets</x:v>
      </x:c>
      <x:c r="G14" s="84" t="str">
        <x:v>Exit Gate</x:v>
      </x:c>
      <x:c r="H14" s="84" t="str">
        <x:v>Hard Stop</x:v>
      </x:c>
      <x:c r="I14" s="75"/>
      <x:c r="J14" s="75"/>
    </x:row>
    <x:row r="15">
      <x:c r="A15" s="77" t="str">
        <x:v>S0</x:v>
      </x:c>
      <x:c r="B15" s="77" t="str">
        <x:v>Rescue local implementation and converge remote truth</x:v>
      </x:c>
      <x:c r="C15" s="85" t="n">
        <x:v>3</x:v>
      </x:c>
      <x:c r="D15" s="85" t="n">
        <x:f>SUMIF('Task Registry'!$B$2:$B$58,A15,'Task Registry'!$P$2:$P$58)</x:f>
        <x:v>3.25</x:v>
      </x:c>
      <x:c r="E15" s="77" t="n">
        <x:v>225</x:v>
      </x:c>
      <x:c r="F15" s="77" t="n">
        <x:v>13</x:v>
      </x:c>
      <x:c r="G15" s="77" t="str">
        <x:v>Authoritative commit remotely reachable</x:v>
      </x:c>
      <x:c r="H15" s="77" t="str">
        <x:v>Do not build new features before this closes</x:v>
      </x:c>
      <x:c r="I15" s="75"/>
      <x:c r="J15" s="75"/>
    </x:row>
    <x:row r="16">
      <x:c r="A16" s="77" t="str">
        <x:v>S1</x:v>
      </x:c>
      <x:c r="B16" s="77" t="str">
        <x:v>Seal clean build, package, install, and CI</x:v>
      </x:c>
      <x:c r="C16" s="85" t="n">
        <x:v>3.6</x:v>
      </x:c>
      <x:c r="D16" s="85" t="n">
        <x:f>SUMIF('Task Registry'!$B$2:$B$58,A16,'Task Registry'!$P$2:$P$58)</x:f>
        <x:v>3.55</x:v>
      </x:c>
      <x:c r="E16" s="77" t="n">
        <x:v>228</x:v>
      </x:c>
      <x:c r="F16" s="77" t="n">
        <x:v>13</x:v>
      </x:c>
      <x:c r="G16" s="77" t="str">
        <x:v>Fresh install and remote CI green</x:v>
      </x:c>
      <x:c r="H16" s="77" t="str">
        <x:v>No demo recording from unsealed build</x:v>
      </x:c>
      <x:c r="I16" s="75"/>
      <x:c r="J16" s="75"/>
    </x:row>
    <x:row r="17">
      <x:c r="A17" s="77" t="str">
        <x:v>S2</x:v>
      </x:c>
      <x:c r="B17" s="77" t="str">
        <x:v>Prove live GPT, Discord, Windows/WSL continuity</x:v>
      </x:c>
      <x:c r="C17" s="85" t="n">
        <x:v>4.3</x:v>
      </x:c>
      <x:c r="D17" s="85" t="n">
        <x:f>SUMIF('Task Registry'!$B$2:$B$58,A17,'Task Registry'!$P$2:$P$58)</x:f>
        <x:v>4.300000000000001</x:v>
      </x:c>
      <x:c r="E17" s="77" t="n">
        <x:v>272</x:v>
      </x:c>
      <x:c r="F17" s="77" t="n">
        <x:v>17</x:v>
      </x:c>
      <x:c r="G17" s="77" t="str">
        <x:v>Live integrations and physical failover evidence</x:v>
      </x:c>
      <x:c r="H17" s="77" t="str">
        <x:v>Time-box failover; preserve honest blocker</x:v>
      </x:c>
      <x:c r="I17" s="75"/>
      <x:c r="J17" s="75"/>
    </x:row>
    <x:row r="18">
      <x:c r="A18" s="77" t="str">
        <x:v>S3</x:v>
      </x:c>
      <x:c r="B18" s="77" t="str">
        <x:v>Run recursive self-build, genome reuse, console truth</x:v>
      </x:c>
      <x:c r="C18" s="85" t="n">
        <x:v>5.15</x:v>
      </x:c>
      <x:c r="D18" s="85" t="n">
        <x:f>SUMIF('Task Registry'!$B$2:$B$58,A18,'Task Registry'!$P$2:$P$58)</x:f>
        <x:v>5</x:v>
      </x:c>
      <x:c r="E18" s="77" t="n">
        <x:v>345</x:v>
      </x:c>
      <x:c r="F18" s="77" t="n">
        <x:v>22</x:v>
      </x:c>
      <x:c r="G18" s="77" t="str">
        <x:v>Self-build receipt and positive reuse proof</x:v>
      </x:c>
      <x:c r="H18" s="77" t="str">
        <x:v>Mission must remain bounded</x:v>
      </x:c>
      <x:c r="I18" s="75"/>
      <x:c r="J18" s="75"/>
    </x:row>
    <x:row r="19">
      <x:c r="A19" s="77" t="str">
        <x:v>S4</x:v>
      </x:c>
      <x:c r="B19" s="77" t="str">
        <x:v>Reverse-verify, scrub, package, release, audit</x:v>
      </x:c>
      <x:c r="C19" s="85" t="n">
        <x:v>4.4</x:v>
      </x:c>
      <x:c r="D19" s="85" t="n">
        <x:f>SUMIF('Task Registry'!$B$2:$B$58,A19,'Task Registry'!$P$2:$P$58)</x:f>
        <x:v>3.95</x:v>
      </x:c>
      <x:c r="E19" s="77" t="n">
        <x:v>278</x:v>
      </x:c>
      <x:c r="F19" s="77" t="n">
        <x:v>20</x:v>
      </x:c>
      <x:c r="G19" s="77" t="str">
        <x:v>Immutable release candidate and audit</x:v>
      </x:c>
      <x:c r="H19" s="77" t="str">
        <x:v>No public export before Medusa scrub</x:v>
      </x:c>
      <x:c r="I19" s="75"/>
      <x:c r="J19" s="75"/>
    </x:row>
    <x:row r="20">
      <x:c r="A20" s="77" t="str">
        <x:v>S5</x:v>
      </x:c>
      <x:c r="B20" s="77" t="str">
        <x:v>Create demo, judge package, comply, submit</x:v>
      </x:c>
      <x:c r="C20" s="85" t="n">
        <x:v>5</x:v>
      </x:c>
      <x:c r="D20" s="85" t="n">
        <x:f>SUMIF('Task Registry'!$B$2:$B$58,A20,'Task Registry'!$P$2:$P$58)</x:f>
        <x:v>5.550000000000001</x:v>
      </x:c>
      <x:c r="E20" s="77" t="n">
        <x:v>286</x:v>
      </x:c>
      <x:c r="F20" s="77" t="n">
        <x:v>23</x:v>
      </x:c>
      <x:c r="G20" s="77" t="str">
        <x:v>Submission confirmation archived</x:v>
      </x:c>
      <x:c r="H20" s="77" t="str">
        <x:v>Finish upload by 4:00 PM</x:v>
      </x:c>
      <x:c r="I20" s="75"/>
      <x:c r="J20" s="75"/>
    </x:row>
    <x:row r="21">
      <x:c r="A21" s="75"/>
      <x:c r="B21" s="75"/>
      <x:c r="C21" s="75"/>
      <x:c r="D21" s="75"/>
      <x:c r="E21" s="75"/>
      <x:c r="F21" s="75"/>
      <x:c r="G21" s="75"/>
      <x:c r="H21" s="75"/>
      <x:c r="I21" s="75"/>
      <x:c r="J21" s="75"/>
    </x:row>
    <x:row r="22">
      <x:c r="A22" s="75"/>
      <x:c r="B22" s="75"/>
      <x:c r="C22" s="75"/>
      <x:c r="D22" s="75"/>
      <x:c r="E22" s="75"/>
      <x:c r="F22" s="75"/>
      <x:c r="G22" s="75"/>
      <x:c r="H22" s="75"/>
      <x:c r="I22" s="75"/>
      <x:c r="J22" s="75"/>
    </x:row>
    <x:row r="23">
      <x:c r="A23" s="83" t="str">
        <x:v>Janus Prime Decision Rules</x:v>
      </x:c>
      <x:c r="B23" s="83"/>
      <x:c r="C23" s="83"/>
      <x:c r="D23" s="83"/>
      <x:c r="E23" s="83"/>
      <x:c r="F23" s="83"/>
      <x:c r="G23" s="83"/>
      <x:c r="H23" s="83"/>
      <x:c r="I23" s="83"/>
      <x:c r="J23" s="83"/>
    </x:row>
    <x:row r="24">
      <x:c r="A24" s="78" t="str">
        <x:v>1</x:v>
      </x:c>
      <x:c r="B24" s="77" t="str">
        <x:v>One active sprint only.</x:v>
      </x:c>
      <x:c r="C24" s="77" t="str">
        <x:v>No new architecture branches until the current sprint exit proof exists.</x:v>
      </x:c>
      <x:c r="D24" s="75" t="str"/>
      <x:c r="E24" s="75" t="str"/>
      <x:c r="F24" s="75" t="str"/>
      <x:c r="G24" s="75" t="str"/>
      <x:c r="H24" s="75" t="str"/>
      <x:c r="I24" s="75" t="str"/>
      <x:c r="J24" s="75" t="str"/>
    </x:row>
    <x:row r="25">
      <x:c r="A25" s="78" t="str">
        <x:v>2</x:v>
      </x:c>
      <x:c r="B25" s="77" t="str">
        <x:v>Remote truth before polish.</x:v>
      </x:c>
      <x:c r="C25" s="77" t="str">
        <x:v>Until P-008 closes, screenshots, decks, and demo polish are secondary.</x:v>
      </x:c>
      <x:c r="D25" s="75" t="str"/>
      <x:c r="E25" s="75" t="str"/>
      <x:c r="F25" s="75" t="str"/>
      <x:c r="G25" s="75" t="str"/>
      <x:c r="H25" s="75" t="str"/>
      <x:c r="I25" s="75" t="str"/>
      <x:c r="J25" s="75" t="str"/>
    </x:row>
    <x:row r="26">
      <x:c r="A26" s="78" t="str">
        <x:v>3</x:v>
      </x:c>
      <x:c r="B26" s="77" t="str">
        <x:v>Evidence or blocked.</x:v>
      </x:c>
      <x:c r="C26" s="77" t="str">
        <x:v>A task may be Verified, Local Verified, Ready, Blocked External, or Not Started. Never “basically done.”</x:v>
      </x:c>
      <x:c r="D26" s="75" t="str"/>
      <x:c r="E26" s="75" t="str"/>
      <x:c r="F26" s="75" t="str"/>
      <x:c r="G26" s="75" t="str"/>
      <x:c r="H26" s="75" t="str"/>
      <x:c r="I26" s="75" t="str"/>
      <x:c r="J26" s="75"/>
    </x:row>
    <x:row r="27">
      <x:c r="A27" s="78" t="str">
        <x:v>4</x:v>
      </x:c>
      <x:c r="B27" s="77" t="str">
        <x:v>Signature story is mandatory.</x:v>
      </x:c>
      <x:c r="C27" s="77" t="str">
        <x:v>Codex ignition → EDEN execution → PROMETHEUS self-build → challenge → proof → genome reuse must all have evidence.</x:v>
      </x:c>
      <x:c r="D27" s="75" t="str"/>
      <x:c r="E27" s="75" t="str"/>
      <x:c r="F27" s="75" t="str"/>
      <x:c r="G27" s="75" t="str"/>
      <x:c r="H27" s="75" t="str"/>
      <x:c r="I27" s="75" t="str"/>
      <x:c r="J27" s="75" t="str"/>
    </x:row>
    <x:row r="28">
      <x:c r="A28" s="78" t="str">
        <x:v>5</x:v>
      </x:c>
      <x:c r="B28" s="77" t="str">
        <x:v>Protect the deadline.</x:v>
      </x:c>
      <x:c r="C28" s="77" t="str">
        <x:v>Target submission by 4:00 PM Monday. 4:00–5:00 PM is contingency, not production time.</x:v>
      </x:c>
      <x:c r="D28" s="75" t="str"/>
      <x:c r="E28" s="75" t="str"/>
      <x:c r="F28" s="75" t="str"/>
      <x:c r="G28" s="75" t="str"/>
      <x:c r="H28" s="75" t="str"/>
      <x:c r="I28" s="75" t="str"/>
      <x:c r="J28" s="75" t="str"/>
    </x:row>
    <x:row r="29">
      <x:c r="A29" s="78" t="str">
        <x:v>6</x:v>
      </x:c>
      <x:c r="B29" s="77" t="str">
        <x:v>Tired operators do not architect.</x:v>
      </x:c>
      <x:c r="C29" s="77" t="str">
        <x:v>After 2:35 AM, sleep. Resume release work at 6:30 AM with one canonical checklist.</x:v>
      </x:c>
      <x:c r="D29" s="75" t="str"/>
      <x:c r="E29" s="75" t="str"/>
      <x:c r="F29" s="75" t="str"/>
      <x:c r="G29" s="75" t="str"/>
      <x:c r="H29" s="75" t="str"/>
      <x:c r="I29" s="75" t="str"/>
      <x:c r="J29" s="75" t="str"/>
    </x:row>
    <x:row r="32">
      <x:c r="A32" s="69" t="str">
        <x:v>Deadline Interpretation</x:v>
      </x:c>
      <x:c r="B32" s="69"/>
      <x:c r="C32" s="69"/>
      <x:c r="D32" s="69"/>
      <x:c r="E32" s="69"/>
      <x:c r="F32" s="69"/>
      <x:c r="G32" s="69"/>
      <x:c r="H32" s="69"/>
      <x:c r="I32" s="69"/>
      <x:c r="J32" s="69"/>
    </x:row>
    <x:row r="33">
      <x:c r="A33" s="106" t="str">
        <x:v>The 25.6-hour registry is the complete closure map, including external credentials, redundant verification, and post-submission controls. The deadline-critical path is 17–23 focused hours. External gates are hard-time-boxed: when infrastructure or credentials genuinely block them, record the exact blocker, preserve the deterministic proof path, and continue toward submission without inventing evidence.</x:v>
      </x:c>
      <x:c r="B33" s="106"/>
      <x:c r="C33" s="106"/>
      <x:c r="D33" s="106"/>
      <x:c r="E33" s="106"/>
      <x:c r="F33" s="106"/>
      <x:c r="G33" s="106"/>
      <x:c r="H33" s="106"/>
      <x:c r="I33" s="106"/>
      <x:c r="J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</x:row>
  </x:sheetData>
  <x:mergeCells>
    <x:mergeCell ref="A1:J2"/>
    <x:mergeCell ref="D4:E4"/>
    <x:mergeCell ref="F4:G4"/>
    <x:mergeCell ref="H4:I4"/>
    <x:mergeCell ref="D5:E6"/>
    <x:mergeCell ref="F5:G6"/>
    <x:mergeCell ref="H5:I6"/>
    <x:mergeCell ref="D8:E8"/>
    <x:mergeCell ref="F8:G8"/>
    <x:mergeCell ref="H8:I8"/>
    <x:mergeCell ref="D9:E10"/>
    <x:mergeCell ref="F9:G10"/>
    <x:mergeCell ref="H9:I10"/>
    <x:mergeCell ref="A13:H13"/>
    <x:mergeCell ref="A23:J23"/>
    <x:mergeCell ref="A32:J32"/>
    <x:mergeCell ref="A33:J35"/>
  </x:mergeCells>
  <x:pageMargins left="0.7" right="0.7" top="0.75" bottom="0.75" header="0.3" footer="0.3"/>
  <x:drawing xmlns:r="http://schemas.openxmlformats.org/officeDocument/2006/relationships" r:id="Rb5020b26a0ea490a"/>
  <x:tableParts count="1">
    <x:tablePart xmlns:r="http://schemas.openxmlformats.org/officeDocument/2006/relationships" r:id="R0d8edf44418946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0" hidden="0" customWidth="1"/>
    <x:col min="4" max="4" width="44" hidden="0" customWidth="1"/>
    <x:col min="5" max="5" width="23" hidden="0" customWidth="1"/>
    <x:col min="6" max="6" width="9" hidden="0" customWidth="1"/>
    <x:col min="7" max="7" width="17" hidden="0" customWidth="1"/>
    <x:col min="8" max="8" width="16" hidden="0" customWidth="1"/>
    <x:col min="9" max="9" width="10" hidden="0" customWidth="1"/>
    <x:col min="10" max="10" width="9" hidden="0" customWidth="1"/>
    <x:col min="11" max="11" width="12" hidden="0" customWidth="1"/>
    <x:col min="12" max="12" width="20" hidden="0" customWidth="1"/>
    <x:col min="13" max="13" width="48" hidden="0" customWidth="1"/>
    <x:col min="14" max="14" width="34" hidden="0" customWidth="1"/>
    <x:col min="15" max="15" width="34" hidden="0" customWidth="1"/>
    <x:col min="16" max="16" width="13" hidden="0" customWidth="1"/>
    <x:col min="17" max="17" width="13" hidden="0" customWidth="1"/>
  </x:cols>
  <x:sheetData>
    <x:row r="1">
      <x:c r="A1" s="98" t="str">
        <x:v>Task ID</x:v>
      </x:c>
      <x:c r="B1" s="98" t="str">
        <x:v>Sprint</x:v>
      </x:c>
      <x:c r="C1" s="98" t="str">
        <x:v>Workstream</x:v>
      </x:c>
      <x:c r="D1" s="98" t="str">
        <x:v>Task</x:v>
      </x:c>
      <x:c r="E1" s="98" t="str">
        <x:v>Owner Class</x:v>
      </x:c>
      <x:c r="F1" s="98" t="str">
        <x:v>Priority</x:v>
      </x:c>
      <x:c r="G1" s="98" t="str">
        <x:v>Status</x:v>
      </x:c>
      <x:c r="H1" s="98" t="str">
        <x:v>Dependencies</x:v>
      </x:c>
      <x:c r="I1" s="98" t="str">
        <x:v>Est. Hours</x:v>
      </x:c>
      <x:c r="J1" s="98" t="str">
        <x:v>TAU</x:v>
      </x:c>
      <x:c r="K1" s="98" t="str">
        <x:v>Proof Packets</x:v>
      </x:c>
      <x:c r="L1" s="98" t="str">
        <x:v>Target Finish</x:v>
      </x:c>
      <x:c r="M1" s="98" t="str">
        <x:v>Acceptance / Proof</x:v>
      </x:c>
      <x:c r="N1" s="98" t="str">
        <x:v>Blocker</x:v>
      </x:c>
      <x:c r="O1" s="98" t="str">
        <x:v>Claim Unlocked</x:v>
      </x:c>
      <x:c r="P1" s="98" t="str">
        <x:v>Remaining Hours</x:v>
      </x:c>
      <x:c r="Q1" s="98" t="str">
        <x:v>Remaining TAU</x:v>
      </x:c>
    </x:row>
    <x:row r="2">
      <x:c r="A2" s="77" t="str">
        <x:v>P-001</x:v>
      </x:c>
      <x:c r="B2" s="77" t="str">
        <x:v>S0</x:v>
      </x:c>
      <x:c r="C2" s="77" t="str">
        <x:v>Truth Convergence</x:v>
      </x:c>
      <x:c r="D2" s="77" t="str">
        <x:v>Confirm the canonical local checkout, current branch, working tree, and repo root</x:v>
      </x:c>
      <x:c r="E2" s="77" t="str">
        <x:v>LOCAL_WINDOWS</x:v>
      </x:c>
      <x:c r="F2" s="77" t="str">
        <x:v>P0</x:v>
      </x:c>
      <x:c r="G2" s="77" t="str">
        <x:v>Ready</x:v>
      </x:c>
      <x:c r="H2" s="77" t="str"/>
      <x:c r="I2" s="85" t="n">
        <x:v>0.25</x:v>
      </x:c>
      <x:c r="J2" s="77" t="n">
        <x:v>12</x:v>
      </x:c>
      <x:c r="K2" s="77" t="n">
        <x:v>1</x:v>
      </x:c>
      <x:c r="L2" s="99" t="n">
        <x:v>46222.427083333336</x:v>
      </x:c>
      <x:c r="M2" s="77" t="str">
        <x:v>Recorded repo path, branch, status, remotes, and HEAD in evidence/reconnaissance/</x:v>
      </x:c>
      <x:c r="N2" s="77" t="str">
        <x:v>Wrong checkout or uncommitted destructive changes</x:v>
      </x:c>
      <x:c r="O2" s="77" t="str">
        <x:v>Authoritative local baseline identified</x:v>
      </x:c>
      <x:c r="P2" s="85" t="n">
        <x:f>IF(G2="Verified",0,IF(G2="Local Verified",I2*0.25,I2))</x:f>
        <x:v>0.25</x:v>
      </x:c>
      <x:c r="Q2" s="77" t="n">
        <x:f>IF(G2="Verified",0,IF(G2="Local Verified",J2*0.25,J2))</x:f>
        <x:v>12</x:v>
      </x:c>
    </x:row>
    <x:row r="3">
      <x:c r="A3" s="77" t="str">
        <x:v>P-002</x:v>
      </x:c>
      <x:c r="B3" s="77" t="str">
        <x:v>S0</x:v>
      </x:c>
      <x:c r="C3" s="77" t="str">
        <x:v>Truth Convergence</x:v>
      </x:c>
      <x:c r="D3" s="77" t="str">
        <x:v>Locate c691bf4 and 6d12685 in branches, tags, reflog, and unreachable Git objects</x:v>
      </x:c>
      <x:c r="E3" s="77" t="str">
        <x:v>LOCAL_WINDOWS</x:v>
      </x:c>
      <x:c r="F3" s="77" t="str">
        <x:v>P0</x:v>
      </x:c>
      <x:c r="G3" s="77" t="str">
        <x:v>Ready</x:v>
      </x:c>
      <x:c r="H3" s="77" t="str">
        <x:v>P-001</x:v>
      </x:c>
      <x:c r="I3" s="85" t="n">
        <x:v>0.5</x:v>
      </x:c>
      <x:c r="J3" s="77" t="n">
        <x:v>28</x:v>
      </x:c>
      <x:c r="K3" s="77" t="n">
        <x:v>2</x:v>
      </x:c>
      <x:c r="L3" s="99" t="n">
        <x:v>46222.447916666664</x:v>
      </x:c>
      <x:c r="M3" s="77" t="str">
        <x:v>Git object search log and explicit recovery verdict for both SHAs</x:v>
      </x:c>
      <x:c r="N3" s="77" t="str">
        <x:v>Objects absent and no equivalent lineage found</x:v>
      </x:c>
      <x:c r="O3" s="77" t="str">
        <x:v>Strongest implementation lineage identified</x:v>
      </x:c>
      <x:c r="P3" s="85" t="n">
        <x:f>IF(G3="Verified",0,IF(G3="Local Verified",I3*0.25,I3))</x:f>
        <x:v>0.5</x:v>
      </x:c>
      <x:c r="Q3" s="77" t="n">
        <x:f>IF(G3="Verified",0,IF(G3="Local Verified",J3*0.25,J3))</x:f>
        <x:v>28</x:v>
      </x:c>
    </x:row>
    <x:row r="4">
      <x:c r="A4" s="77" t="str">
        <x:v>P-003</x:v>
      </x:c>
      <x:c r="B4" s="77" t="str">
        <x:v>S0</x:v>
      </x:c>
      <x:c r="C4" s="77" t="str">
        <x:v>Truth Convergence</x:v>
      </x:c>
      <x:c r="D4" s="77" t="str">
        <x:v>Protect the strongest reachable implementation with an archival branch and tag</x:v>
      </x:c>
      <x:c r="E4" s="77" t="str">
        <x:v>LOCAL_WINDOWS</x:v>
      </x:c>
      <x:c r="F4" s="77" t="str">
        <x:v>P0</x:v>
      </x:c>
      <x:c r="G4" s="77" t="str">
        <x:v>Ready</x:v>
      </x:c>
      <x:c r="H4" s="77" t="str">
        <x:v>P-002</x:v>
      </x:c>
      <x:c r="I4" s="85" t="n">
        <x:v>0.25</x:v>
      </x:c>
      <x:c r="J4" s="77" t="n">
        <x:v>15</x:v>
      </x:c>
      <x:c r="K4" s="77" t="n">
        <x:v>1</x:v>
      </x:c>
      <x:c r="L4" s="99" t="n">
        <x:v>46222.458333333336</x:v>
      </x:c>
      <x:c r="M4" s="77" t="str">
        <x:v>Archive branch/tag resolves to protected implementation commit</x:v>
      </x:c>
      <x:c r="N4" s="77" t="str">
        <x:v>No recoverable implementation object</x:v>
      </x:c>
      <x:c r="O4" s="77" t="str">
        <x:v>Implementation cannot be accidentally lost</x:v>
      </x:c>
      <x:c r="P4" s="85" t="n">
        <x:f>IF(G4="Verified",0,IF(G4="Local Verified",I4*0.25,I4))</x:f>
        <x:v>0.25</x:v>
      </x:c>
      <x:c r="Q4" s="77" t="n">
        <x:f>IF(G4="Verified",0,IF(G4="Local Verified",J4*0.25,J4))</x:f>
        <x:v>15</x:v>
      </x:c>
    </x:row>
    <x:row r="5">
      <x:c r="A5" s="77" t="str">
        <x:v>P-004</x:v>
      </x:c>
      <x:c r="B5" s="77" t="str">
        <x:v>S0</x:v>
      </x:c>
      <x:c r="C5" s="77" t="str">
        <x:v>Truth Convergence</x:v>
      </x:c>
      <x:c r="D5" s="77" t="str">
        <x:v>Configure canonical GitHub remote and fetch main without altering local work</x:v>
      </x:c>
      <x:c r="E5" s="77" t="str">
        <x:v>GITHUB_CONFIGURATION</x:v>
      </x:c>
      <x:c r="F5" s="77" t="str">
        <x:v>P0</x:v>
      </x:c>
      <x:c r="G5" s="77" t="str">
        <x:v>Ready</x:v>
      </x:c>
      <x:c r="H5" s="77" t="str">
        <x:v>P-003</x:v>
      </x:c>
      <x:c r="I5" s="85" t="n">
        <x:v>0.25</x:v>
      </x:c>
      <x:c r="J5" s="77" t="n">
        <x:v>15</x:v>
      </x:c>
      <x:c r="K5" s="77" t="n">
        <x:v>1</x:v>
      </x:c>
      <x:c r="L5" s="99" t="n">
        <x:v>46222.46875</x:v>
      </x:c>
      <x:c r="M5" s="77" t="str">
        <x:v>origin URL recorded; fetch succeeds; remote refs visible</x:v>
      </x:c>
      <x:c r="N5" s="77" t="str">
        <x:v>Auth, network, or proxy failure</x:v>
      </x:c>
      <x:c r="O5" s="77" t="str">
        <x:v>Remote canon is available locally</x:v>
      </x:c>
      <x:c r="P5" s="85" t="n">
        <x:f>IF(G5="Verified",0,IF(G5="Local Verified",I5*0.25,I5))</x:f>
        <x:v>0.25</x:v>
      </x:c>
      <x:c r="Q5" s="77" t="n">
        <x:f>IF(G5="Verified",0,IF(G5="Local Verified",J5*0.25,J5))</x:f>
        <x:v>15</x:v>
      </x:c>
    </x:row>
    <x:row r="6">
      <x:c r="A6" s="77" t="str">
        <x:v>P-005</x:v>
      </x:c>
      <x:c r="B6" s="77" t="str">
        <x:v>S0</x:v>
      </x:c>
      <x:c r="C6" s="77" t="str">
        <x:v>Truth Convergence</x:v>
      </x:c>
      <x:c r="D6" s="77" t="str">
        <x:v>Push the protected implementation to a recovery branch</x:v>
      </x:c>
      <x:c r="E6" s="77" t="str">
        <x:v>GITHUB_CONFIGURATION</x:v>
      </x:c>
      <x:c r="F6" s="77" t="str">
        <x:v>P0</x:v>
      </x:c>
      <x:c r="G6" s="77" t="str">
        <x:v>Ready</x:v>
      </x:c>
      <x:c r="H6" s="77" t="str">
        <x:v>P-004</x:v>
      </x:c>
      <x:c r="I6" s="85" t="n">
        <x:v>0.25</x:v>
      </x:c>
      <x:c r="J6" s="77" t="n">
        <x:v>18</x:v>
      </x:c>
      <x:c r="K6" s="77" t="n">
        <x:v>1</x:v>
      </x:c>
      <x:c r="L6" s="99" t="n">
        <x:v>46222.479166666664</x:v>
      </x:c>
      <x:c r="M6" s="77" t="str">
        <x:v>Recovery branch visible on GitHub and commit reachable</x:v>
      </x:c>
      <x:c r="N6" s="77" t="str">
        <x:v>Push permission or diverged history</x:v>
      </x:c>
      <x:c r="O6" s="77" t="str">
        <x:v>Strongest implementation becomes remotely recoverable</x:v>
      </x:c>
      <x:c r="P6" s="85" t="n">
        <x:f>IF(G6="Verified",0,IF(G6="Local Verified",I6*0.25,I6))</x:f>
        <x:v>0.25</x:v>
      </x:c>
      <x:c r="Q6" s="77" t="n">
        <x:f>IF(G6="Verified",0,IF(G6="Local Verified",J6*0.25,J6))</x:f>
        <x:v>18</x:v>
      </x:c>
    </x:row>
    <x:row r="7">
      <x:c r="A7" s="77" t="str">
        <x:v>P-006</x:v>
      </x:c>
      <x:c r="B7" s="77" t="str">
        <x:v>S0</x:v>
      </x:c>
      <x:c r="C7" s="77" t="str">
        <x:v>Truth Convergence</x:v>
      </x:c>
      <x:c r="D7" s="77" t="str">
        <x:v>Compare remote canon against recovered implementation and reconcile non-destructively</x:v>
      </x:c>
      <x:c r="E7" s="77" t="str">
        <x:v>CODEX_REPOSITORY</x:v>
      </x:c>
      <x:c r="F7" s="77" t="str">
        <x:v>P0</x:v>
      </x:c>
      <x:c r="G7" s="77" t="str">
        <x:v>Ready</x:v>
      </x:c>
      <x:c r="H7" s="77" t="str">
        <x:v>P-005</x:v>
      </x:c>
      <x:c r="I7" s="85" t="n">
        <x:v>0.75</x:v>
      </x:c>
      <x:c r="J7" s="77" t="n">
        <x:v>55</x:v>
      </x:c>
      <x:c r="K7" s="77" t="n">
        <x:v>3</x:v>
      </x:c>
      <x:c r="L7" s="99" t="n">
        <x:v>46222.510416666664</x:v>
      </x:c>
      <x:c r="M7" s="77" t="str">
        <x:v>Complete diff reviewed; canon and implementation coexist under one history</x:v>
      </x:c>
      <x:c r="N7" s="77" t="str">
        <x:v>Conflicting canons or destructive merge</x:v>
      </x:c>
      <x:c r="O7" s="77" t="str">
        <x:v>One source of truth</x:v>
      </x:c>
      <x:c r="P7" s="85" t="n">
        <x:f>IF(G7="Verified",0,IF(G7="Local Verified",I7*0.25,I7))</x:f>
        <x:v>0.75</x:v>
      </x:c>
      <x:c r="Q7" s="77" t="n">
        <x:f>IF(G7="Verified",0,IF(G7="Local Verified",J7*0.25,J7))</x:f>
        <x:v>55</x:v>
      </x:c>
    </x:row>
    <x:row r="8">
      <x:c r="A8" s="77" t="str">
        <x:v>P-007</x:v>
      </x:c>
      <x:c r="B8" s="77" t="str">
        <x:v>S0</x:v>
      </x:c>
      <x:c r="C8" s="77" t="str">
        <x:v>Truth Convergence</x:v>
      </x:c>
      <x:c r="D8" s="77" t="str">
        <x:v>Run regression suite after reconciliation</x:v>
      </x:c>
      <x:c r="E8" s="77" t="str">
        <x:v>LOCAL_WINDOWS</x:v>
      </x:c>
      <x:c r="F8" s="77" t="str">
        <x:v>P0</x:v>
      </x:c>
      <x:c r="G8" s="77" t="str">
        <x:v>Ready</x:v>
      </x:c>
      <x:c r="H8" s="77" t="str">
        <x:v>P-006</x:v>
      </x:c>
      <x:c r="I8" s="85" t="n">
        <x:v>0.5</x:v>
      </x:c>
      <x:c r="J8" s="77" t="n">
        <x:v>32</x:v>
      </x:c>
      <x:c r="K8" s="77" t="n">
        <x:v>2</x:v>
      </x:c>
      <x:c r="L8" s="99" t="n">
        <x:v>46222.53125</x:v>
      </x:c>
      <x:c r="M8" s="77" t="str">
        <x:v>All existing tests, doctor, demo, receipt verification, and compile checks pass</x:v>
      </x:c>
      <x:c r="N8" s="77" t="str">
        <x:v>Merge regression</x:v>
      </x:c>
      <x:c r="O8" s="77" t="str">
        <x:v>Reconciled build remains executable</x:v>
      </x:c>
      <x:c r="P8" s="85" t="n">
        <x:f>IF(G8="Verified",0,IF(G8="Local Verified",I8*0.25,I8))</x:f>
        <x:v>0.5</x:v>
      </x:c>
      <x:c r="Q8" s="77" t="n">
        <x:f>IF(G8="Verified",0,IF(G8="Local Verified",J8*0.25,J8))</x:f>
        <x:v>32</x:v>
      </x:c>
    </x:row>
    <x:row r="9">
      <x:c r="A9" s="77" t="str">
        <x:v>P-008</x:v>
      </x:c>
      <x:c r="B9" s="77" t="str">
        <x:v>S0</x:v>
      </x:c>
      <x:c r="C9" s="77" t="str">
        <x:v>Truth Convergence</x:v>
      </x:c>
      <x:c r="D9" s="77" t="str">
        <x:v>Publish authoritative branch/PR and update README status from scaffold to evidence-backed state</x:v>
      </x:c>
      <x:c r="E9" s="77" t="str">
        <x:v>GITHUB_CONFIGURATION</x:v>
      </x:c>
      <x:c r="F9" s="77" t="str">
        <x:v>P0</x:v>
      </x:c>
      <x:c r="G9" s="77" t="str">
        <x:v>Ready</x:v>
      </x:c>
      <x:c r="H9" s="77" t="str">
        <x:v>P-007</x:v>
      </x:c>
      <x:c r="I9" s="85" t="n">
        <x:v>0.5</x:v>
      </x:c>
      <x:c r="J9" s="77" t="n">
        <x:v>30</x:v>
      </x:c>
      <x:c r="K9" s="77" t="n">
        <x:v>2</x:v>
      </x:c>
      <x:c r="L9" s="99" t="n">
        <x:v>46222.552083333336</x:v>
      </x:c>
      <x:c r="M9" s="77" t="str">
        <x:v>Remote branch, PR/merge, current commit, and README status all agree</x:v>
      </x:c>
      <x:c r="N9" s="77" t="str">
        <x:v>Unresolved merge or branch ambiguity</x:v>
      </x:c>
      <x:c r="O9" s="77" t="str">
        <x:v>Remote repository matches actual build truth</x:v>
      </x:c>
      <x:c r="P9" s="85" t="n">
        <x:f>IF(G9="Verified",0,IF(G9="Local Verified",I9*0.25,I9))</x:f>
        <x:v>0.5</x:v>
      </x:c>
      <x:c r="Q9" s="77" t="n">
        <x:f>IF(G9="Verified",0,IF(G9="Local Verified",J9*0.25,J9))</x:f>
        <x:v>30</x:v>
      </x:c>
    </x:row>
    <x:row r="10">
      <x:c r="A10" s="77" t="str">
        <x:v>P-009</x:v>
      </x:c>
      <x:c r="B10" s="77" t="str">
        <x:v>S1</x:v>
      </x:c>
      <x:c r="C10" s="77" t="str">
        <x:v>Baseline Seal</x:v>
      </x:c>
      <x:c r="D10" s="77" t="str">
        <x:v>Create a fresh clean checkout of the reconciled authoritative commit</x:v>
      </x:c>
      <x:c r="E10" s="77" t="str">
        <x:v>LOCAL_WINDOWS</x:v>
      </x:c>
      <x:c r="F10" s="77" t="str">
        <x:v>P0</x:v>
      </x:c>
      <x:c r="G10" s="77" t="str">
        <x:v>Not Started</x:v>
      </x:c>
      <x:c r="H10" s="77" t="str">
        <x:v>P-008</x:v>
      </x:c>
      <x:c r="I10" s="85" t="n">
        <x:v>0.35</x:v>
      </x:c>
      <x:c r="J10" s="77" t="n">
        <x:v>18</x:v>
      </x:c>
      <x:c r="K10" s="77" t="n">
        <x:v>1</x:v>
      </x:c>
      <x:c r="L10" s="99" t="n">
        <x:v>46222.572916666664</x:v>
      </x:c>
      <x:c r="M10" s="77" t="str">
        <x:v>Fresh directory resolves to exact authoritative SHA</x:v>
      </x:c>
      <x:c r="N10" s="77" t="str">
        <x:v>Local residue or wrong branch</x:v>
      </x:c>
      <x:c r="O10" s="77" t="str">
        <x:v>Reproducible source checkout</x:v>
      </x:c>
      <x:c r="P10" s="85" t="n">
        <x:f>IF(G10="Verified",0,IF(G10="Local Verified",I10*0.25,I10))</x:f>
        <x:v>0.35</x:v>
      </x:c>
      <x:c r="Q10" s="77" t="n">
        <x:f>IF(G10="Verified",0,IF(G10="Local Verified",J10*0.25,J10))</x:f>
        <x:v>18</x:v>
      </x:c>
    </x:row>
    <x:row r="11">
      <x:c r="A11" s="77" t="str">
        <x:v>P-010</x:v>
      </x:c>
      <x:c r="B11" s="77" t="str">
        <x:v>S1</x:v>
      </x:c>
      <x:c r="C11" s="77" t="str">
        <x:v>Baseline Seal</x:v>
      </x:c>
      <x:c r="D11" s="77" t="str">
        <x:v>Install or vendor the Python build tooling needed for package creation</x:v>
      </x:c>
      <x:c r="E11" s="77" t="str">
        <x:v>LOCAL_WINDOWS</x:v>
      </x:c>
      <x:c r="F11" s="77" t="str">
        <x:v>P1</x:v>
      </x:c>
      <x:c r="G11" s="77" t="str">
        <x:v>Not Started</x:v>
      </x:c>
      <x:c r="H11" s="77" t="str">
        <x:v>P-009</x:v>
      </x:c>
      <x:c r="I11" s="85" t="n">
        <x:v>0.35</x:v>
      </x:c>
      <x:c r="J11" s="77" t="n">
        <x:v>20</x:v>
      </x:c>
      <x:c r="K11" s="77" t="n">
        <x:v>1</x:v>
      </x:c>
      <x:c r="L11" s="99" t="n">
        <x:v>46222.59027777778</x:v>
      </x:c>
      <x:c r="M11" s="77" t="str">
        <x:v>python -m build is available in the clean environment</x:v>
      </x:c>
      <x:c r="N11" s="77" t="str">
        <x:v>Package index/network failure</x:v>
      </x:c>
      <x:c r="O11" s="77" t="str">
        <x:v>Standard package build is possible</x:v>
      </x:c>
      <x:c r="P11" s="85" t="n">
        <x:f>IF(G11="Verified",0,IF(G11="Local Verified",I11*0.25,I11))</x:f>
        <x:v>0.35</x:v>
      </x:c>
      <x:c r="Q11" s="77" t="n">
        <x:f>IF(G11="Verified",0,IF(G11="Local Verified",J11*0.25,J11))</x:f>
        <x:v>20</x:v>
      </x:c>
    </x:row>
    <x:row r="12">
      <x:c r="A12" s="77" t="str">
        <x:v>P-011</x:v>
      </x:c>
      <x:c r="B12" s="77" t="str">
        <x:v>S1</x:v>
      </x:c>
      <x:c r="C12" s="77" t="str">
        <x:v>Baseline Seal</x:v>
      </x:c>
      <x:c r="D12" s="77" t="str">
        <x:v>Run complete test suite and compile checks in the clean checkout</x:v>
      </x:c>
      <x:c r="E12" s="77" t="str">
        <x:v>LOCAL_WINDOWS</x:v>
      </x:c>
      <x:c r="F12" s="77" t="str">
        <x:v>P0</x:v>
      </x:c>
      <x:c r="G12" s="77" t="str">
        <x:v>Not Started</x:v>
      </x:c>
      <x:c r="H12" s="77" t="str">
        <x:v>P-009</x:v>
      </x:c>
      <x:c r="I12" s="85" t="n">
        <x:v>0.5</x:v>
      </x:c>
      <x:c r="J12" s="77" t="n">
        <x:v>32</x:v>
      </x:c>
      <x:c r="K12" s="77" t="n">
        <x:v>2</x:v>
      </x:c>
      <x:c r="L12" s="99" t="n">
        <x:v>46222.61111111111</x:v>
      </x:c>
      <x:c r="M12" s="77" t="str">
        <x:v>Zero test failures; compileall succeeds; logs archived</x:v>
      </x:c>
      <x:c r="N12" s="77" t="str">
        <x:v>Test or environment failure</x:v>
      </x:c>
      <x:c r="O12" s="77" t="str">
        <x:v>Clean-checkout testability</x:v>
      </x:c>
      <x:c r="P12" s="85" t="n">
        <x:f>IF(G12="Verified",0,IF(G12="Local Verified",I12*0.25,I12))</x:f>
        <x:v>0.5</x:v>
      </x:c>
      <x:c r="Q12" s="77" t="n">
        <x:f>IF(G12="Verified",0,IF(G12="Local Verified",J12*0.25,J12))</x:f>
        <x:v>32</x:v>
      </x:c>
    </x:row>
    <x:row r="13">
      <x:c r="A13" s="77" t="str">
        <x:v>P-012</x:v>
      </x:c>
      <x:c r="B13" s="77" t="str">
        <x:v>S1</x:v>
      </x:c>
      <x:c r="C13" s="77" t="str">
        <x:v>Baseline Seal</x:v>
      </x:c>
      <x:c r="D13" s="77" t="str">
        <x:v>Run prometheus doctor, deterministic demo, and receipt verification</x:v>
      </x:c>
      <x:c r="E13" s="77" t="str">
        <x:v>LOCAL_WINDOWS</x:v>
      </x:c>
      <x:c r="F13" s="77" t="str">
        <x:v>P0</x:v>
      </x:c>
      <x:c r="G13" s="77" t="str">
        <x:v>Not Started</x:v>
      </x:c>
      <x:c r="H13" s="77" t="str">
        <x:v>P-011</x:v>
      </x:c>
      <x:c r="I13" s="85" t="n">
        <x:v>0.5</x:v>
      </x:c>
      <x:c r="J13" s="77" t="n">
        <x:v>35</x:v>
      </x:c>
      <x:c r="K13" s="77" t="n">
        <x:v>2</x:v>
      </x:c>
      <x:c r="L13" s="99" t="n">
        <x:v>46222.631944444445</x:v>
      </x:c>
      <x:c r="M13" s="77" t="str">
        <x:v>Doctor healthy; demo completes; receipt hash verifies</x:v>
      </x:c>
      <x:c r="N13" s="77" t="str">
        <x:v>CLI mismatch or evidence failure</x:v>
      </x:c>
      <x:c r="O13" s="77" t="str">
        <x:v>Golden path is executable</x:v>
      </x:c>
      <x:c r="P13" s="85" t="n">
        <x:f>IF(G13="Verified",0,IF(G13="Local Verified",I13*0.25,I13))</x:f>
        <x:v>0.5</x:v>
      </x:c>
      <x:c r="Q13" s="77" t="n">
        <x:f>IF(G13="Verified",0,IF(G13="Local Verified",J13*0.25,J13))</x:f>
        <x:v>35</x:v>
      </x:c>
    </x:row>
    <x:row r="14">
      <x:c r="A14" s="77" t="str">
        <x:v>P-013</x:v>
      </x:c>
      <x:c r="B14" s="77" t="str">
        <x:v>S1</x:v>
      </x:c>
      <x:c r="C14" s="77" t="str">
        <x:v>Baseline Seal</x:v>
      </x:c>
      <x:c r="D14" s="77" t="str">
        <x:v>Build wheel and source distribution with python -m build</x:v>
      </x:c>
      <x:c r="E14" s="77" t="str">
        <x:v>LOCAL_WINDOWS</x:v>
      </x:c>
      <x:c r="F14" s="77" t="str">
        <x:v>P1</x:v>
      </x:c>
      <x:c r="G14" s="77" t="str">
        <x:v>Not Started</x:v>
      </x:c>
      <x:c r="H14" s="77" t="str">
        <x:v>P-010,P-011</x:v>
      </x:c>
      <x:c r="I14" s="85" t="n">
        <x:v>0.35</x:v>
      </x:c>
      <x:c r="J14" s="77" t="n">
        <x:v>24</x:v>
      </x:c>
      <x:c r="K14" s="77" t="n">
        <x:v>1</x:v>
      </x:c>
      <x:c r="L14" s="99" t="n">
        <x:v>46222.649305555555</x:v>
      </x:c>
      <x:c r="M14" s="77" t="str">
        <x:v>Wheel and sdist exist with SHA-256 hashes</x:v>
      </x:c>
      <x:c r="N14" s="77" t="str">
        <x:v>Build configuration failure</x:v>
      </x:c>
      <x:c r="O14" s="77" t="str">
        <x:v>Installable release artifacts exist</x:v>
      </x:c>
      <x:c r="P14" s="85" t="n">
        <x:f>IF(G14="Verified",0,IF(G14="Local Verified",I14*0.25,I14))</x:f>
        <x:v>0.35</x:v>
      </x:c>
      <x:c r="Q14" s="77" t="n">
        <x:f>IF(G14="Verified",0,IF(G14="Local Verified",J14*0.25,J14))</x:f>
        <x:v>24</x:v>
      </x:c>
    </x:row>
    <x:row r="15">
      <x:c r="A15" s="77" t="str">
        <x:v>P-014</x:v>
      </x:c>
      <x:c r="B15" s="77" t="str">
        <x:v>S1</x:v>
      </x:c>
      <x:c r="C15" s="77" t="str">
        <x:v>Baseline Seal</x:v>
      </x:c>
      <x:c r="D15" s="77" t="str">
        <x:v>Install the wheel into a clean virtual environment and run smoke checks</x:v>
      </x:c>
      <x:c r="E15" s="77" t="str">
        <x:v>LOCAL_WINDOWS</x:v>
      </x:c>
      <x:c r="F15" s="77" t="str">
        <x:v>P1</x:v>
      </x:c>
      <x:c r="G15" s="77" t="str">
        <x:v>Not Started</x:v>
      </x:c>
      <x:c r="H15" s="77" t="str">
        <x:v>P-013</x:v>
      </x:c>
      <x:c r="I15" s="85" t="n">
        <x:v>0.5</x:v>
      </x:c>
      <x:c r="J15" s="77" t="n">
        <x:v>36</x:v>
      </x:c>
      <x:c r="K15" s="77" t="n">
        <x:v>2</x:v>
      </x:c>
      <x:c r="L15" s="99" t="n">
        <x:v>46222.67013888889</x:v>
      </x:c>
      <x:c r="M15" s="77" t="str">
        <x:v>Installed CLI runs init, doctor, demo, receipt verify without source edits</x:v>
      </x:c>
      <x:c r="N15" s="77" t="str">
        <x:v>Missing dependency or path leakage</x:v>
      </x:c>
      <x:c r="O15" s="77" t="str">
        <x:v>Clean installation succeeds</x:v>
      </x:c>
      <x:c r="P15" s="85" t="n">
        <x:f>IF(G15="Verified",0,IF(G15="Local Verified",I15*0.25,I15))</x:f>
        <x:v>0.5</x:v>
      </x:c>
      <x:c r="Q15" s="77" t="n">
        <x:f>IF(G15="Verified",0,IF(G15="Local Verified",J15*0.25,J15))</x:f>
        <x:v>36</x:v>
      </x:c>
    </x:row>
    <x:row r="16">
      <x:c r="A16" s="77" t="str">
        <x:v>P-015</x:v>
      </x:c>
      <x:c r="B16" s="77" t="str">
        <x:v>S1</x:v>
      </x:c>
      <x:c r="C16" s="77" t="str">
        <x:v>Baseline Seal</x:v>
      </x:c>
      <x:c r="D16" s="77" t="str">
        <x:v>Verify rollback, clean, and uninstall behavior</x:v>
      </x:c>
      <x:c r="E16" s="77" t="str">
        <x:v>LOCAL_WINDOWS</x:v>
      </x:c>
      <x:c r="F16" s="77" t="str">
        <x:v>P1</x:v>
      </x:c>
      <x:c r="G16" s="77" t="str">
        <x:v>Not Started</x:v>
      </x:c>
      <x:c r="H16" s="77" t="str">
        <x:v>P-014</x:v>
      </x:c>
      <x:c r="I16" s="85" t="n">
        <x:v>0.4</x:v>
      </x:c>
      <x:c r="J16" s="77" t="n">
        <x:v>25</x:v>
      </x:c>
      <x:c r="K16" s="77" t="n">
        <x:v>1</x:v>
      </x:c>
      <x:c r="L16" s="99" t="n">
        <x:v>46222.6875</x:v>
      </x:c>
      <x:c r="M16" s="77" t="str">
        <x:v>State cleanup and uninstall leave no false success or broken residue</x:v>
      </x:c>
      <x:c r="N16" s="77" t="str">
        <x:v>Destructive cleanup or retained state</x:v>
      </x:c>
      <x:c r="O16" s="77" t="str">
        <x:v>Rollback and uninstall are credible</x:v>
      </x:c>
      <x:c r="P16" s="85" t="n">
        <x:f>IF(G16="Verified",0,IF(G16="Local Verified",I16*0.25,I16))</x:f>
        <x:v>0.4</x:v>
      </x:c>
      <x:c r="Q16" s="77" t="n">
        <x:f>IF(G16="Verified",0,IF(G16="Local Verified",J16*0.25,J16))</x:f>
        <x:v>25</x:v>
      </x:c>
    </x:row>
    <x:row r="17">
      <x:c r="A17" s="77" t="str">
        <x:v>P-016</x:v>
      </x:c>
      <x:c r="B17" s="77" t="str">
        <x:v>S1</x:v>
      </x:c>
      <x:c r="C17" s="77" t="str">
        <x:v>Baseline Seal</x:v>
      </x:c>
      <x:c r="D17" s="77" t="str">
        <x:v>Push reconciled commit and observe GitHub CI through completion</x:v>
      </x:c>
      <x:c r="E17" s="77" t="str">
        <x:v>GITHUB_CONFIGURATION</x:v>
      </x:c>
      <x:c r="F17" s="77" t="str">
        <x:v>P1</x:v>
      </x:c>
      <x:c r="G17" s="77" t="str">
        <x:v>Not Started</x:v>
      </x:c>
      <x:c r="H17" s="77" t="str">
        <x:v>P-008,P-011,P-013</x:v>
      </x:c>
      <x:c r="I17" s="85" t="n">
        <x:v>0.6</x:v>
      </x:c>
      <x:c r="J17" s="77" t="n">
        <x:v>38</x:v>
      </x:c>
      <x:c r="K17" s="77" t="n">
        <x:v>2</x:v>
      </x:c>
      <x:c r="L17" s="99" t="n">
        <x:v>46222.708333333336</x:v>
      </x:c>
      <x:c r="M17" s="77" t="str">
        <x:v>Remote CI passes lint/tests/package/install/schema/receipt checks</x:v>
      </x:c>
      <x:c r="N17" s="77" t="str">
        <x:v>Workflow or permissions failure</x:v>
      </x:c>
      <x:c r="O17" s="77" t="str">
        <x:v>Remote repository is independently green</x:v>
      </x:c>
      <x:c r="P17" s="85" t="n">
        <x:f>IF(G17="Verified",0,IF(G17="Local Verified",I17*0.25,I17))</x:f>
        <x:v>0.6</x:v>
      </x:c>
      <x:c r="Q17" s="77" t="n">
        <x:f>IF(G17="Verified",0,IF(G17="Local Verified",J17*0.25,J17))</x:f>
        <x:v>38</x:v>
      </x:c>
    </x:row>
    <x:row r="18">
      <x:c r="A18" s="77" t="str">
        <x:v>P-017</x:v>
      </x:c>
      <x:c r="B18" s="77" t="str">
        <x:v>S2</x:v>
      </x:c>
      <x:c r="C18" s="77" t="str">
        <x:v>Live Integrations</x:v>
      </x:c>
      <x:c r="D18" s="77" t="str">
        <x:v>Configure OpenAI credentials without committing secrets</x:v>
      </x:c>
      <x:c r="E18" s="77" t="str">
        <x:v>OPENAI_CREDENTIAL</x:v>
      </x:c>
      <x:c r="F18" s="77" t="str">
        <x:v>P1</x:v>
      </x:c>
      <x:c r="G18" s="77" t="str">
        <x:v>Blocked External</x:v>
      </x:c>
      <x:c r="H18" s="77" t="str">
        <x:v>P-008</x:v>
      </x:c>
      <x:c r="I18" s="85" t="n">
        <x:v>0.2</x:v>
      </x:c>
      <x:c r="J18" s="77" t="n">
        <x:v>10</x:v>
      </x:c>
      <x:c r="K18" s="77" t="n">
        <x:v>1</x:v>
      </x:c>
      <x:c r="L18" s="99" t="n">
        <x:v>46222.71875</x:v>
      </x:c>
      <x:c r="M18" s="77" t="str">
        <x:v>Credential is available through environment and redaction test passes</x:v>
      </x:c>
      <x:c r="N18" s="77" t="str">
        <x:v>Credential unavailable</x:v>
      </x:c>
      <x:c r="O18" s="77" t="str">
        <x:v>Live model execution becomes possible</x:v>
      </x:c>
      <x:c r="P18" s="85" t="n">
        <x:f>IF(G18="Verified",0,IF(G18="Local Verified",I18*0.25,I18))</x:f>
        <x:v>0.2</x:v>
      </x:c>
      <x:c r="Q18" s="77" t="n">
        <x:f>IF(G18="Verified",0,IF(G18="Local Verified",J18*0.25,J18))</x:f>
        <x:v>10</x:v>
      </x:c>
    </x:row>
    <x:row r="19">
      <x:c r="A19" s="77" t="str">
        <x:v>P-018</x:v>
      </x:c>
      <x:c r="B19" s="77" t="str">
        <x:v>S2</x:v>
      </x:c>
      <x:c r="C19" s="77" t="str">
        <x:v>Live Integrations</x:v>
      </x:c>
      <x:c r="D19" s="77" t="str">
        <x:v>Run one material GPT-5.6 route-generation and differentiation call</x:v>
      </x:c>
      <x:c r="E19" s="77" t="str">
        <x:v>LOCAL_WINDOWS</x:v>
      </x:c>
      <x:c r="F19" s="77" t="str">
        <x:v>P1</x:v>
      </x:c>
      <x:c r="G19" s="77" t="str">
        <x:v>Not Started</x:v>
      </x:c>
      <x:c r="H19" s="77" t="str">
        <x:v>P-017</x:v>
      </x:c>
      <x:c r="I19" s="85" t="n">
        <x:v>0.45</x:v>
      </x:c>
      <x:c r="J19" s="77" t="n">
        <x:v>30</x:v>
      </x:c>
      <x:c r="K19" s="77" t="n">
        <x:v>2</x:v>
      </x:c>
      <x:c r="L19" s="99" t="n">
        <x:v>46222.739583333336</x:v>
      </x:c>
      <x:c r="M19" s="77" t="str">
        <x:v>Prompt, response summary, model name, timestamp, cost metadata, and artifact hash recorded</x:v>
      </x:c>
      <x:c r="N19" s="77" t="str">
        <x:v>API/model failure</x:v>
      </x:c>
      <x:c r="O19" s="77" t="str">
        <x:v>Uses GPT-5.6 materially</x:v>
      </x:c>
      <x:c r="P19" s="85" t="n">
        <x:f>IF(G19="Verified",0,IF(G19="Local Verified",I19*0.25,I19))</x:f>
        <x:v>0.45</x:v>
      </x:c>
      <x:c r="Q19" s="77" t="n">
        <x:f>IF(G19="Verified",0,IF(G19="Local Verified",J19*0.25,J19))</x:f>
        <x:v>30</x:v>
      </x:c>
    </x:row>
    <x:row r="20">
      <x:c r="A20" s="77" t="str">
        <x:v>P-019</x:v>
      </x:c>
      <x:c r="B20" s="77" t="str">
        <x:v>S2</x:v>
      </x:c>
      <x:c r="C20" s="77" t="str">
        <x:v>Live Integrations</x:v>
      </x:c>
      <x:c r="D20" s="77" t="str">
        <x:v>Run one material GPT-5.6 adversarial or test-proposal call and update contribution log</x:v>
      </x:c>
      <x:c r="E20" s="77" t="str">
        <x:v>LOCAL_WINDOWS</x:v>
      </x:c>
      <x:c r="F20" s="77" t="str">
        <x:v>P1</x:v>
      </x:c>
      <x:c r="G20" s="77" t="str">
        <x:v>Not Started</x:v>
      </x:c>
      <x:c r="H20" s="77" t="str">
        <x:v>P-018</x:v>
      </x:c>
      <x:c r="I20" s="85" t="n">
        <x:v>0.4</x:v>
      </x:c>
      <x:c r="J20" s="77" t="n">
        <x:v>28</x:v>
      </x:c>
      <x:c r="K20" s="77" t="n">
        <x:v>2</x:v>
      </x:c>
      <x:c r="L20" s="99" t="n">
        <x:v>46222.756944444445</x:v>
      </x:c>
      <x:c r="M20" s="77" t="str">
        <x:v>Model contribution changes an actual challenge/test and is linked to evidence</x:v>
      </x:c>
      <x:c r="N20" s="77" t="str">
        <x:v>Call produces no material contribution</x:v>
      </x:c>
      <x:c r="O20" s="77" t="str">
        <x:v>GPT-5.6 contribution is judge-verifiable</x:v>
      </x:c>
      <x:c r="P20" s="85" t="n">
        <x:f>IF(G20="Verified",0,IF(G20="Local Verified",I20*0.25,I20))</x:f>
        <x:v>0.4</x:v>
      </x:c>
      <x:c r="Q20" s="77" t="n">
        <x:f>IF(G20="Verified",0,IF(G20="Local Verified",J20*0.25,J20))</x:f>
        <x:v>28</x:v>
      </x:c>
    </x:row>
    <x:row r="21">
      <x:c r="A21" s="77" t="str">
        <x:v>P-020</x:v>
      </x:c>
      <x:c r="B21" s="77" t="str">
        <x:v>S2</x:v>
      </x:c>
      <x:c r="C21" s="77" t="str">
        <x:v>Live Integrations</x:v>
      </x:c>
      <x:c r="D21" s="77" t="str">
        <x:v>Configure the ServerForge Discord webhook securely</x:v>
      </x:c>
      <x:c r="E21" s="77" t="str">
        <x:v>DISCORD_CONFIGURATION</x:v>
      </x:c>
      <x:c r="F21" s="77" t="str">
        <x:v>P1</x:v>
      </x:c>
      <x:c r="G21" s="77" t="str">
        <x:v>Blocked External</x:v>
      </x:c>
      <x:c r="H21" s="77" t="str">
        <x:v>P-008</x:v>
      </x:c>
      <x:c r="I21" s="85" t="n">
        <x:v>0.2</x:v>
      </x:c>
      <x:c r="J21" s="77" t="n">
        <x:v>10</x:v>
      </x:c>
      <x:c r="K21" s="77" t="n">
        <x:v>1</x:v>
      </x:c>
      <x:c r="L21" s="99" t="n">
        <x:v>46222.76736111111</x:v>
      </x:c>
      <x:c r="M21" s="77" t="str">
        <x:v>Webhook stored outside repo; sanitizer and secret redaction verified</x:v>
      </x:c>
      <x:c r="N21" s="77" t="str">
        <x:v>Webhook unavailable or permission failure</x:v>
      </x:c>
      <x:c r="O21" s="77" t="str">
        <x:v>Live Discord delivery becomes possible</x:v>
      </x:c>
      <x:c r="P21" s="85" t="n">
        <x:f>IF(G21="Verified",0,IF(G21="Local Verified",I21*0.25,I21))</x:f>
        <x:v>0.2</x:v>
      </x:c>
      <x:c r="Q21" s="77" t="n">
        <x:f>IF(G21="Verified",0,IF(G21="Local Verified",J21*0.25,J21))</x:f>
        <x:v>10</x:v>
      </x:c>
    </x:row>
    <x:row r="22">
      <x:c r="A22" s="77" t="str">
        <x:v>P-021</x:v>
      </x:c>
      <x:c r="B22" s="77" t="str">
        <x:v>S2</x:v>
      </x:c>
      <x:c r="C22" s="77" t="str">
        <x:v>Live Integrations</x:v>
      </x:c>
      <x:c r="D22" s="77" t="str">
        <x:v>Publish sanitized signature events to ServerForge</x:v>
      </x:c>
      <x:c r="E22" s="77" t="str">
        <x:v>LOCAL_WINDOWS</x:v>
      </x:c>
      <x:c r="F22" s="77" t="str">
        <x:v>P1</x:v>
      </x:c>
      <x:c r="G22" s="77" t="str">
        <x:v>Not Started</x:v>
      </x:c>
      <x:c r="H22" s="77" t="str">
        <x:v>P-020</x:v>
      </x:c>
      <x:c r="I22" s="85" t="n">
        <x:v>0.45</x:v>
      </x:c>
      <x:c r="J22" s="77" t="n">
        <x:v>28</x:v>
      </x:c>
      <x:c r="K22" s="77" t="n">
        <x:v>2</x:v>
      </x:c>
      <x:c r="L22" s="99" t="n">
        <x:v>46222.788194444445</x:v>
      </x:c>
      <x:c r="M22" s="77" t="str">
        <x:v>Discord receives mission, candidate, challenge, block, repair, receipt, and release events</x:v>
      </x:c>
      <x:c r="N22" s="77" t="str">
        <x:v>Discord HTTP or permission failure</x:v>
      </x:c>
      <x:c r="O22" s="77" t="str">
        <x:v>Discord integration works</x:v>
      </x:c>
      <x:c r="P22" s="85" t="n">
        <x:f>IF(G22="Verified",0,IF(G22="Local Verified",I22*0.25,I22))</x:f>
        <x:v>0.45</x:v>
      </x:c>
      <x:c r="Q22" s="77" t="n">
        <x:f>IF(G22="Verified",0,IF(G22="Local Verified",J22*0.25,J22))</x:f>
        <x:v>28</x:v>
      </x:c>
    </x:row>
    <x:row r="23">
      <x:c r="A23" s="77" t="str">
        <x:v>P-022</x:v>
      </x:c>
      <x:c r="B23" s="77" t="str">
        <x:v>S2</x:v>
      </x:c>
      <x:c r="C23" s="77" t="str">
        <x:v>Live Integrations</x:v>
      </x:c>
      <x:c r="D23" s="77" t="str">
        <x:v>Correlate Discord messages with the local JSONL evidence ledger</x:v>
      </x:c>
      <x:c r="E23" s="77" t="str">
        <x:v>LOCAL_WINDOWS</x:v>
      </x:c>
      <x:c r="F23" s="77" t="str">
        <x:v>P1</x:v>
      </x:c>
      <x:c r="G23" s="77" t="str">
        <x:v>Not Started</x:v>
      </x:c>
      <x:c r="H23" s="77" t="str">
        <x:v>P-021</x:v>
      </x:c>
      <x:c r="I23" s="85" t="n">
        <x:v>0.3</x:v>
      </x:c>
      <x:c r="J23" s="77" t="n">
        <x:v>18</x:v>
      </x:c>
      <x:c r="K23" s="77" t="n">
        <x:v>1</x:v>
      </x:c>
      <x:c r="L23" s="99" t="n">
        <x:v>46222.802083333336</x:v>
      </x:c>
      <x:c r="M23" s="77" t="str">
        <x:v>Event IDs and hashes match between local ledger and sanitized delivery</x:v>
      </x:c>
      <x:c r="N23" s="77" t="str">
        <x:v>Dropped or mutated events</x:v>
      </x:c>
      <x:c r="O23" s="77" t="str">
        <x:v>ServerForge narrative is evidence-backed</x:v>
      </x:c>
      <x:c r="P23" s="85" t="n">
        <x:f>IF(G23="Verified",0,IF(G23="Local Verified",I23*0.25,I23))</x:f>
        <x:v>0.3</x:v>
      </x:c>
      <x:c r="Q23" s="77" t="n">
        <x:f>IF(G23="Verified",0,IF(G23="Local Verified",J23*0.25,J23))</x:f>
        <x:v>18</x:v>
      </x:c>
    </x:row>
    <x:row r="24">
      <x:c r="A24" s="77" t="str">
        <x:v>P-023</x:v>
      </x:c>
      <x:c r="B24" s="77" t="str">
        <x:v>S2</x:v>
      </x:c>
      <x:c r="C24" s="77" t="str">
        <x:v>Runtime Continuity</x:v>
      </x:c>
      <x:c r="D24" s="77" t="str">
        <x:v>Run clean Windows install, doctor, demo, and receipt verification</x:v>
      </x:c>
      <x:c r="E24" s="77" t="str">
        <x:v>LOCAL_WINDOWS</x:v>
      </x:c>
      <x:c r="F24" s="77" t="str">
        <x:v>P1</x:v>
      </x:c>
      <x:c r="G24" s="77" t="str">
        <x:v>Not Started</x:v>
      </x:c>
      <x:c r="H24" s="77" t="str">
        <x:v>P-014</x:v>
      </x:c>
      <x:c r="I24" s="85" t="n">
        <x:v>0.6</x:v>
      </x:c>
      <x:c r="J24" s="77" t="n">
        <x:v>38</x:v>
      </x:c>
      <x:c r="K24" s="77" t="n">
        <x:v>2</x:v>
      </x:c>
      <x:c r="L24" s="99" t="n">
        <x:v>46222.82638888889</x:v>
      </x:c>
      <x:c r="M24" s="77" t="str">
        <x:v>Windows commands and screenshots/logs archived</x:v>
      </x:c>
      <x:c r="N24" s="77" t="str">
        <x:v>PowerShell, path, or package failure</x:v>
      </x:c>
      <x:c r="O24" s="77" t="str">
        <x:v>Works on Windows</x:v>
      </x:c>
      <x:c r="P24" s="85" t="n">
        <x:f>IF(G24="Verified",0,IF(G24="Local Verified",I24*0.25,I24))</x:f>
        <x:v>0.6</x:v>
      </x:c>
      <x:c r="Q24" s="77" t="n">
        <x:f>IF(G24="Verified",0,IF(G24="Local Verified",J24*0.25,J24))</x:f>
        <x:v>38</x:v>
      </x:c>
    </x:row>
    <x:row r="25">
      <x:c r="A25" s="77" t="str">
        <x:v>P-024</x:v>
      </x:c>
      <x:c r="B25" s="77" t="str">
        <x:v>S2</x:v>
      </x:c>
      <x:c r="C25" s="77" t="str">
        <x:v>Runtime Continuity</x:v>
      </x:c>
      <x:c r="D25" s="77" t="str">
        <x:v>Run clean WSL or Ubuntu install, doctor, demo, and receipt verification</x:v>
      </x:c>
      <x:c r="E25" s="77" t="str">
        <x:v>LOCAL_WSL</x:v>
      </x:c>
      <x:c r="F25" s="77" t="str">
        <x:v>P1</x:v>
      </x:c>
      <x:c r="G25" s="77" t="str">
        <x:v>Not Started</x:v>
      </x:c>
      <x:c r="H25" s="77" t="str">
        <x:v>P-014</x:v>
      </x:c>
      <x:c r="I25" s="85" t="n">
        <x:v>0.6</x:v>
      </x:c>
      <x:c r="J25" s="77" t="n">
        <x:v>38</x:v>
      </x:c>
      <x:c r="K25" s="77" t="n">
        <x:v>2</x:v>
      </x:c>
      <x:c r="L25" s="99" t="n">
        <x:v>46222.850694444445</x:v>
      </x:c>
      <x:c r="M25" s="77" t="str">
        <x:v>WSL/Ubuntu commands and logs archived</x:v>
      </x:c>
      <x:c r="N25" s="77" t="str">
        <x:v>WSL unavailable or dependency mismatch</x:v>
      </x:c>
      <x:c r="O25" s="77" t="str">
        <x:v>Works on WSL/Ubuntu</x:v>
      </x:c>
      <x:c r="P25" s="85" t="n">
        <x:f>IF(G25="Verified",0,IF(G25="Local Verified",I25*0.25,I25))</x:f>
        <x:v>0.6</x:v>
      </x:c>
      <x:c r="Q25" s="77" t="n">
        <x:f>IF(G25="Verified",0,IF(G25="Local Verified",J25*0.25,J25))</x:f>
        <x:v>38</x:v>
      </x:c>
    </x:row>
    <x:row r="26">
      <x:c r="A26" s="77" t="str">
        <x:v>P-025</x:v>
      </x:c>
      <x:c r="B26" s="77" t="str">
        <x:v>S2</x:v>
      </x:c>
      <x:c r="C26" s="77" t="str">
        <x:v>Runtime Continuity</x:v>
      </x:c>
      <x:c r="D26" s="77" t="str">
        <x:v>Demonstrate Windows-to-WSL/Ubuntu checkpoint failover with replay protection</x:v>
      </x:c>
      <x:c r="E26" s="77" t="str">
        <x:v>LOCAL_WINDOWS</x:v>
      </x:c>
      <x:c r="F26" s="77" t="str">
        <x:v>P1</x:v>
      </x:c>
      <x:c r="G26" s="77" t="str">
        <x:v>Not Started</x:v>
      </x:c>
      <x:c r="H26" s="77" t="str">
        <x:v>P-023,P-024</x:v>
      </x:c>
      <x:c r="I26" s="85" t="n">
        <x:v>1.1</x:v>
      </x:c>
      <x:c r="J26" s="77" t="n">
        <x:v>72</x:v>
      </x:c>
      <x:c r="K26" s="77" t="n">
        <x:v>4</x:v>
      </x:c>
      <x:c r="L26" s="99" t="n">
        <x:v>46222.895833333336</x:v>
      </x:c>
      <x:c r="M26" s="77" t="str">
        <x:v>Intentional Windows failure, durable checkpoint, resumed WSL command, lineage preservation, duplicate block, matching output hash</x:v>
      </x:c>
      <x:c r="N26" s="77" t="str">
        <x:v>Cross-runtime state or path incompatibility</x:v>
      </x:c>
      <x:c r="O26" s="77" t="str">
        <x:v>Survives runtime failure without mission loss</x:v>
      </x:c>
      <x:c r="P26" s="85" t="n">
        <x:f>IF(G26="Verified",0,IF(G26="Local Verified",I26*0.25,I26))</x:f>
        <x:v>1.1</x:v>
      </x:c>
      <x:c r="Q26" s="77" t="n">
        <x:f>IF(G26="Verified",0,IF(G26="Local Verified",J26*0.25,J26))</x:f>
        <x:v>72</x:v>
      </x:c>
    </x:row>
    <x:row r="27">
      <x:c r="A27" s="77" t="str">
        <x:v>P-026</x:v>
      </x:c>
      <x:c r="B27" s="77" t="str">
        <x:v>S3</x:v>
      </x:c>
      <x:c r="C27" s="77" t="str">
        <x:v>Recursive Self-Build</x:v>
      </x:c>
      <x:c r="D27" s="77" t="str">
        <x:v>Select a bounded source-mutating improvement mission against PROMETHEUS itself</x:v>
      </x:c>
      <x:c r="E27" s="77" t="str">
        <x:v>HUMAN_REVIEW</x:v>
      </x:c>
      <x:c r="F27" s="77" t="str">
        <x:v>P1</x:v>
      </x:c>
      <x:c r="G27" s="77" t="str">
        <x:v>Ready</x:v>
      </x:c>
      <x:c r="H27" s="77" t="str">
        <x:v>P-008</x:v>
      </x:c>
      <x:c r="I27" s="85" t="n">
        <x:v>0.25</x:v>
      </x:c>
      <x:c r="J27" s="77" t="n">
        <x:v>16</x:v>
      </x:c>
      <x:c r="K27" s="77" t="n">
        <x:v>1</x:v>
      </x:c>
      <x:c r="L27" s="99" t="n">
        <x:v>46222.90625</x:v>
      </x:c>
      <x:c r="M27" s="77" t="str">
        <x:v>Mission is small, safe, valuable, testable, and has rollback criteria</x:v>
      </x:c>
      <x:c r="N27" s="77" t="str">
        <x:v>Mission too broad or cosmetic</x:v>
      </x:c>
      <x:c r="O27" s="77" t="str">
        <x:v>Self-build mission is legitimate</x:v>
      </x:c>
      <x:c r="P27" s="85" t="n">
        <x:f>IF(G27="Verified",0,IF(G27="Local Verified",I27*0.25,I27))</x:f>
        <x:v>0.25</x:v>
      </x:c>
      <x:c r="Q27" s="77" t="n">
        <x:f>IF(G27="Verified",0,IF(G27="Local Verified",J27*0.25,J27))</x:f>
        <x:v>16</x:v>
      </x:c>
    </x:row>
    <x:row r="28">
      <x:c r="A28" s="77" t="str">
        <x:v>P-027</x:v>
      </x:c>
      <x:c r="B28" s="77" t="str">
        <x:v>S3</x:v>
      </x:c>
      <x:c r="C28" s="77" t="str">
        <x:v>Recursive Self-Build</x:v>
      </x:c>
      <x:c r="D28" s="77" t="str">
        <x:v>Generate three materially different self-build routes and isolated worktrees</x:v>
      </x:c>
      <x:c r="E28" s="77" t="str">
        <x:v>CODEX_REPOSITORY</x:v>
      </x:c>
      <x:c r="F28" s="77" t="str">
        <x:v>P1</x:v>
      </x:c>
      <x:c r="G28" s="77" t="str">
        <x:v>Not Started</x:v>
      </x:c>
      <x:c r="H28" s="77" t="str">
        <x:v>P-026</x:v>
      </x:c>
      <x:c r="I28" s="85" t="n">
        <x:v>0.75</x:v>
      </x:c>
      <x:c r="J28" s="77" t="n">
        <x:v>55</x:v>
      </x:c>
      <x:c r="K28" s="77" t="n">
        <x:v>3</x:v>
      </x:c>
      <x:c r="L28" s="99" t="n">
        <x:v>46222.9375</x:v>
      </x:c>
      <x:c r="M28" s="77" t="str">
        <x:v>Novelty gate and three isolated candidates are recorded</x:v>
      </x:c>
      <x:c r="N28" s="77" t="str">
        <x:v>Routes are cosmetic or worktrees fail</x:v>
      </x:c>
      <x:c r="O28" s="77" t="str">
        <x:v>PROMETHEUS can evolve its own code</x:v>
      </x:c>
      <x:c r="P28" s="85" t="n">
        <x:f>IF(G28="Verified",0,IF(G28="Local Verified",I28*0.25,I28))</x:f>
        <x:v>0.75</x:v>
      </x:c>
      <x:c r="Q28" s="77" t="n">
        <x:f>IF(G28="Verified",0,IF(G28="Local Verified",J28*0.25,J28))</x:f>
        <x:v>55</x:v>
      </x:c>
    </x:row>
    <x:row r="29">
      <x:c r="A29" s="77" t="str">
        <x:v>P-028</x:v>
      </x:c>
      <x:c r="B29" s="77" t="str">
        <x:v>S3</x:v>
      </x:c>
      <x:c r="C29" s="77" t="str">
        <x:v>Recursive Self-Build</x:v>
      </x:c>
      <x:c r="D29" s="77" t="str">
        <x:v>Execute candidates and produce at least one genuine evidence-backed rejection</x:v>
      </x:c>
      <x:c r="E29" s="77" t="str">
        <x:v>LOCAL_WINDOWS</x:v>
      </x:c>
      <x:c r="F29" s="77" t="str">
        <x:v>P1</x:v>
      </x:c>
      <x:c r="G29" s="77" t="str">
        <x:v>Not Started</x:v>
      </x:c>
      <x:c r="H29" s="77" t="str">
        <x:v>P-027</x:v>
      </x:c>
      <x:c r="I29" s="85" t="n">
        <x:v>0.75</x:v>
      </x:c>
      <x:c r="J29" s="77" t="n">
        <x:v>48</x:v>
      </x:c>
      <x:c r="K29" s="77" t="n">
        <x:v>3</x:v>
      </x:c>
      <x:c r="L29" s="99" t="n">
        <x:v>46222.96875</x:v>
      </x:c>
      <x:c r="M29" s="77" t="str">
        <x:v>Candidate failure arises from real test/security evidence, not a scripted label</x:v>
      </x:c>
      <x:c r="N29" s="77" t="str">
        <x:v>All routes identical or fake failure</x:v>
      </x:c>
      <x:c r="O29" s="77" t="str">
        <x:v>Self-selection pressure is real</x:v>
      </x:c>
      <x:c r="P29" s="85" t="n">
        <x:f>IF(G29="Verified",0,IF(G29="Local Verified",I29*0.25,I29))</x:f>
        <x:v>0.75</x:v>
      </x:c>
      <x:c r="Q29" s="77" t="n">
        <x:f>IF(G29="Verified",0,IF(G29="Local Verified",J29*0.25,J29))</x:f>
        <x:v>48</x:v>
      </x:c>
    </x:row>
    <x:row r="30">
      <x:c r="A30" s="77" t="str">
        <x:v>P-029</x:v>
      </x:c>
      <x:c r="B30" s="77" t="str">
        <x:v>S3</x:v>
      </x:c>
      <x:c r="C30" s="77" t="str">
        <x:v>Recursive Self-Build</x:v>
      </x:c>
      <x:c r="D30" s="77" t="str">
        <x:v>Challenge the provisional winner and force a SECA promotion block</x:v>
      </x:c>
      <x:c r="E30" s="77" t="str">
        <x:v>LOCAL_WINDOWS</x:v>
      </x:c>
      <x:c r="F30" s="77" t="str">
        <x:v>P1</x:v>
      </x:c>
      <x:c r="G30" s="77" t="str">
        <x:v>Not Started</x:v>
      </x:c>
      <x:c r="H30" s="77" t="str">
        <x:v>P-028</x:v>
      </x:c>
      <x:c r="I30" s="85" t="n">
        <x:v>0.6</x:v>
      </x:c>
      <x:c r="J30" s="77" t="n">
        <x:v>42</x:v>
      </x:c>
      <x:c r="K30" s="77" t="n">
        <x:v>2</x:v>
      </x:c>
      <x:c r="L30" s="99" t="n">
        <x:v>46222.993055555555</x:v>
      </x:c>
      <x:c r="M30" s="77" t="str">
        <x:v>Independent challenge reproduces a defect and promotion state becomes blocked</x:v>
      </x:c>
      <x:c r="N30" s="77" t="str">
        <x:v>Challenger lacks independence or evidence</x:v>
      </x:c>
      <x:c r="O30" s="77" t="str">
        <x:v>Self-build survives adversarial opposition</x:v>
      </x:c>
      <x:c r="P30" s="85" t="n">
        <x:f>IF(G30="Verified",0,IF(G30="Local Verified",I30*0.25,I30))</x:f>
        <x:v>0.6</x:v>
      </x:c>
      <x:c r="Q30" s="77" t="n">
        <x:f>IF(G30="Verified",0,IF(G30="Local Verified",J30*0.25,J30))</x:f>
        <x:v>42</x:v>
      </x:c>
    </x:row>
    <x:row r="31">
      <x:c r="A31" s="77" t="str">
        <x:v>P-030</x:v>
      </x:c>
      <x:c r="B31" s="77" t="str">
        <x:v>S3</x:v>
      </x:c>
      <x:c r="C31" s="77" t="str">
        <x:v>Recursive Self-Build</x:v>
      </x:c>
      <x:c r="D31" s="77" t="str">
        <x:v>Repair the blocked self-build candidate, retest, and promote</x:v>
      </x:c>
      <x:c r="E31" s="77" t="str">
        <x:v>CODEX_REPOSITORY</x:v>
      </x:c>
      <x:c r="F31" s="77" t="str">
        <x:v>P1</x:v>
      </x:c>
      <x:c r="G31" s="77" t="str">
        <x:v>Not Started</x:v>
      </x:c>
      <x:c r="H31" s="77" t="str">
        <x:v>P-029</x:v>
      </x:c>
      <x:c r="I31" s="85" t="n">
        <x:v>0.75</x:v>
      </x:c>
      <x:c r="J31" s="77" t="n">
        <x:v>50</x:v>
      </x:c>
      <x:c r="K31" s="77" t="n">
        <x:v>3</x:v>
      </x:c>
      <x:c r="L31" s="99" t="n">
        <x:v>46223.024305555555</x:v>
      </x:c>
      <x:c r="M31" s="77" t="str">
        <x:v>Diff, full retest, promotion decision, rollback state, and final commit archived</x:v>
      </x:c>
      <x:c r="N31" s="77" t="str">
        <x:v>Repair introduces regression</x:v>
      </x:c>
      <x:c r="O31" s="77" t="str">
        <x:v>PROMETHEUS improves itself with proof</x:v>
      </x:c>
      <x:c r="P31" s="85" t="n">
        <x:f>IF(G31="Verified",0,IF(G31="Local Verified",I31*0.25,I31))</x:f>
        <x:v>0.75</x:v>
      </x:c>
      <x:c r="Q31" s="77" t="n">
        <x:f>IF(G31="Verified",0,IF(G31="Local Verified",J31*0.25,J31))</x:f>
        <x:v>50</x:v>
      </x:c>
    </x:row>
    <x:row r="32">
      <x:c r="A32" s="77" t="str">
        <x:v>P-031</x:v>
      </x:c>
      <x:c r="B32" s="77" t="str">
        <x:v>S3</x:v>
      </x:c>
      <x:c r="C32" s="77" t="str">
        <x:v>Recursive Self-Build</x:v>
      </x:c>
      <x:c r="D32" s="77" t="str">
        <x:v>Generate the recursive self-build receipt and lineage record</x:v>
      </x:c>
      <x:c r="E32" s="77" t="str">
        <x:v>LOCAL_WINDOWS</x:v>
      </x:c>
      <x:c r="F32" s="77" t="str">
        <x:v>P1</x:v>
      </x:c>
      <x:c r="G32" s="77" t="str">
        <x:v>Not Started</x:v>
      </x:c>
      <x:c r="H32" s="77" t="str">
        <x:v>P-030</x:v>
      </x:c>
      <x:c r="I32" s="85" t="n">
        <x:v>0.35</x:v>
      </x:c>
      <x:c r="J32" s="77" t="n">
        <x:v>24</x:v>
      </x:c>
      <x:c r="K32" s="77" t="n">
        <x:v>1</x:v>
      </x:c>
      <x:c r="L32" s="99" t="n">
        <x:v>46223.038194444445</x:v>
      </x:c>
      <x:c r="M32" s="77" t="str">
        <x:v>Receipt references mission, candidates, failure, block, repair, tests, commit, hashes, and genome</x:v>
      </x:c>
      <x:c r="N32" s="77" t="str">
        <x:v>Receipt omits causal evidence</x:v>
      </x:c>
      <x:c r="O32" s="77" t="str">
        <x:v>Recursive self-build is judge-verifiable</x:v>
      </x:c>
      <x:c r="P32" s="85" t="n">
        <x:f>IF(G32="Verified",0,IF(G32="Local Verified",I32*0.25,I32))</x:f>
        <x:v>0.35</x:v>
      </x:c>
      <x:c r="Q32" s="77" t="n">
        <x:f>IF(G32="Verified",0,IF(G32="Local Verified",J32*0.25,J32))</x:f>
        <x:v>24</x:v>
      </x:c>
    </x:row>
    <x:row r="33">
      <x:c r="A33" s="77" t="str">
        <x:v>P-032</x:v>
      </x:c>
      <x:c r="B33" s="77" t="str">
        <x:v>S3</x:v>
      </x:c>
      <x:c r="C33" s="77" t="str">
        <x:v>Capability Genome</x:v>
      </x:c>
      <x:c r="D33" s="77" t="str">
        <x:v>Select a safe second repository or competition arena for positive genome reuse</x:v>
      </x:c>
      <x:c r="E33" s="77" t="str">
        <x:v>HUMAN_REVIEW</x:v>
      </x:c>
      <x:c r="F33" s="77" t="str">
        <x:v>P1</x:v>
      </x:c>
      <x:c r="G33" s="77" t="str">
        <x:v>Ready</x:v>
      </x:c>
      <x:c r="H33" s="77" t="str">
        <x:v>P-031</x:v>
      </x:c>
      <x:c r="I33" s="85" t="n">
        <x:v>0.2</x:v>
      </x:c>
      <x:c r="J33" s="77" t="n">
        <x:v>12</x:v>
      </x:c>
      <x:c r="K33" s="77" t="n">
        <x:v>1</x:v>
      </x:c>
      <x:c r="L33" s="99" t="n">
        <x:v>46223.04513888889</x:v>
      </x:c>
      <x:c r="M33" s="77" t="str">
        <x:v>Target meets declared reuse conditions and contains no sensitive data</x:v>
      </x:c>
      <x:c r="N33" s="77" t="str">
        <x:v>No appropriate target</x:v>
      </x:c>
      <x:c r="O33" s="77" t="str">
        <x:v>Reuse demonstration has a valid substrate</x:v>
      </x:c>
      <x:c r="P33" s="85" t="n">
        <x:f>IF(G33="Verified",0,IF(G33="Local Verified",I33*0.25,I33))</x:f>
        <x:v>0.2</x:v>
      </x:c>
      <x:c r="Q33" s="77" t="n">
        <x:f>IF(G33="Verified",0,IF(G33="Local Verified",J33*0.25,J33))</x:f>
        <x:v>12</x:v>
      </x:c>
    </x:row>
    <x:row r="34">
      <x:c r="A34" s="77" t="str">
        <x:v>P-033</x:v>
      </x:c>
      <x:c r="B34" s="77" t="str">
        <x:v>S3</x:v>
      </x:c>
      <x:c r="C34" s="77" t="str">
        <x:v>Capability Genome</x:v>
      </x:c>
      <x:c r="D34" s="77" t="str">
        <x:v>Match and reuse the genome on the second repository, then re-prove the result</x:v>
      </x:c>
      <x:c r="E34" s="77" t="str">
        <x:v>LOCAL_WINDOWS</x:v>
      </x:c>
      <x:c r="F34" s="77" t="str">
        <x:v>P1</x:v>
      </x:c>
      <x:c r="G34" s="77" t="str">
        <x:v>Not Started</x:v>
      </x:c>
      <x:c r="H34" s="77" t="str">
        <x:v>P-032</x:v>
      </x:c>
      <x:c r="I34" s="85" t="n">
        <x:v>0.85</x:v>
      </x:c>
      <x:c r="J34" s="77" t="n">
        <x:v>58</x:v>
      </x:c>
      <x:c r="K34" s="77" t="n">
        <x:v>3</x:v>
      </x:c>
      <x:c r="L34" s="99" t="n">
        <x:v>46223.07986111111</x:v>
      </x:c>
      <x:c r="M34" s="77" t="str">
        <x:v>Match report, applied motif, fresh tests, receipt hash, and outcome evidence exist</x:v>
      </x:c>
      <x:c r="N34" s="77" t="str">
        <x:v>Reuse conditions mismatch or test failure</x:v>
      </x:c>
      <x:c r="O34" s="77" t="str">
        <x:v>Capability inheritance works responsibly</x:v>
      </x:c>
      <x:c r="P34" s="85" t="n">
        <x:f>IF(G34="Verified",0,IF(G34="Local Verified",I34*0.25,I34))</x:f>
        <x:v>0.85</x:v>
      </x:c>
      <x:c r="Q34" s="77" t="n">
        <x:f>IF(G34="Verified",0,IF(G34="Local Verified",J34*0.25,J34))</x:f>
        <x:v>58</x:v>
      </x:c>
    </x:row>
    <x:row r="35">
      <x:c r="A35" s="77" t="str">
        <x:v>P-034</x:v>
      </x:c>
      <x:c r="B35" s="77" t="str">
        <x:v>S3</x:v>
      </x:c>
      <x:c r="C35" s="77" t="str">
        <x:v>Capability Genome</x:v>
      </x:c>
      <x:c r="D35" s="77" t="str">
        <x:v>Attempt out-of-bounds reuse and prove exclusion denial</x:v>
      </x:c>
      <x:c r="E35" s="77" t="str">
        <x:v>LOCAL_WINDOWS</x:v>
      </x:c>
      <x:c r="F35" s="77" t="str">
        <x:v>P1</x:v>
      </x:c>
      <x:c r="G35" s="77" t="str">
        <x:v>Local Verified</x:v>
      </x:c>
      <x:c r="H35" s="77" t="str">
        <x:v>P-033</x:v>
      </x:c>
      <x:c r="I35" s="85" t="n">
        <x:v>0.2</x:v>
      </x:c>
      <x:c r="J35" s="77" t="n">
        <x:v>12</x:v>
      </x:c>
      <x:c r="K35" s="77" t="n">
        <x:v>1</x:v>
      </x:c>
      <x:c r="L35" s="99" t="n">
        <x:v>46223.086805555555</x:v>
      </x:c>
      <x:c r="M35" s="77" t="str">
        <x:v>Exclusion rule blocks invalid reuse with evidence</x:v>
      </x:c>
      <x:c r="N35" s="77" t="str">
        <x:v>Matcher permits unsafe reuse</x:v>
      </x:c>
      <x:c r="O35" s="77" t="str">
        <x:v>Genome boundaries are enforced</x:v>
      </x:c>
      <x:c r="P35" s="85" t="n">
        <x:f>IF(G35="Verified",0,IF(G35="Local Verified",I35*0.25,I35))</x:f>
        <x:v>0.05</x:v>
      </x:c>
      <x:c r="Q35" s="77" t="n">
        <x:f>IF(G35="Verified",0,IF(G35="Local Verified",J35*0.25,J35))</x:f>
        <x:v>3</x:v>
      </x:c>
    </x:row>
    <x:row r="36">
      <x:c r="A36" s="77" t="str">
        <x:v>P-035</x:v>
      </x:c>
      <x:c r="B36" s="77" t="str">
        <x:v>S3</x:v>
      </x:c>
      <x:c r="C36" s="77" t="str">
        <x:v>Olympian Console</x:v>
      </x:c>
      <x:c r="D36" s="77" t="str">
        <x:v>Verify console state against the final receipt and event ledger</x:v>
      </x:c>
      <x:c r="E36" s="77" t="str">
        <x:v>LOCAL_WINDOWS</x:v>
      </x:c>
      <x:c r="F36" s="77" t="str">
        <x:v>P1</x:v>
      </x:c>
      <x:c r="G36" s="77" t="str">
        <x:v>Not Started</x:v>
      </x:c>
      <x:c r="H36" s="77" t="str">
        <x:v>P-031,P-033</x:v>
      </x:c>
      <x:c r="I36" s="85" t="n">
        <x:v>0.45</x:v>
      </x:c>
      <x:c r="J36" s="77" t="n">
        <x:v>28</x:v>
      </x:c>
      <x:c r="K36" s="77" t="n">
        <x:v>2</x:v>
      </x:c>
      <x:c r="L36" s="99" t="n">
        <x:v>46223.10763888889</x:v>
      </x:c>
      <x:c r="M36" s="77" t="str">
        <x:v>Mission, candidates, tests, runtime, block, repair, receipt, genome, and ServerForge state match backend evidence</x:v>
      </x:c>
      <x:c r="N36" s="77" t="str">
        <x:v>UI contradicts receipt or shows fabricated state</x:v>
      </x:c>
      <x:c r="O36" s="77" t="str">
        <x:v>Dashboard is truthful</x:v>
      </x:c>
      <x:c r="P36" s="85" t="n">
        <x:f>IF(G36="Verified",0,IF(G36="Local Verified",I36*0.25,I36))</x:f>
        <x:v>0.45</x:v>
      </x:c>
      <x:c r="Q36" s="77" t="n">
        <x:f>IF(G36="Verified",0,IF(G36="Local Verified",J36*0.25,J36))</x:f>
        <x:v>28</x:v>
      </x:c>
    </x:row>
    <x:row r="37">
      <x:c r="A37" s="77" t="str">
        <x:v>P-036</x:v>
      </x:c>
      <x:c r="B37" s="77" t="str">
        <x:v>S4</x:v>
      </x:c>
      <x:c r="C37" s="77" t="str">
        <x:v>Reverse Verification</x:v>
      </x:c>
      <x:c r="D37" s="77" t="str">
        <x:v>Tamper with a copied artifact and prove receipt verification fails</x:v>
      </x:c>
      <x:c r="E37" s="77" t="str">
        <x:v>LOCAL_WINDOWS</x:v>
      </x:c>
      <x:c r="F37" s="77" t="str">
        <x:v>P0</x:v>
      </x:c>
      <x:c r="G37" s="77" t="str">
        <x:v>Local Verified</x:v>
      </x:c>
      <x:c r="H37" s="77" t="str">
        <x:v>P-012</x:v>
      </x:c>
      <x:c r="I37" s="85" t="n">
        <x:v>0.15</x:v>
      </x:c>
      <x:c r="J37" s="77" t="n">
        <x:v>10</x:v>
      </x:c>
      <x:c r="K37" s="77" t="n">
        <x:v>1</x:v>
      </x:c>
      <x:c r="L37" s="99" t="n">
        <x:v>46223.28125</x:v>
      </x:c>
      <x:c r="M37" s="77" t="str">
        <x:v>Tampered artifact fails hash/receipt verification</x:v>
      </x:c>
      <x:c r="N37" s="77" t="str">
        <x:v>Verifier accepts altered artifact</x:v>
      </x:c>
      <x:c r="O37" s="77" t="str">
        <x:v>Receipt integrity is verified</x:v>
      </x:c>
      <x:c r="P37" s="85" t="n">
        <x:f>IF(G37="Verified",0,IF(G37="Local Verified",I37*0.25,I37))</x:f>
        <x:v>0.0375</x:v>
      </x:c>
      <x:c r="Q37" s="77" t="n">
        <x:f>IF(G37="Verified",0,IF(G37="Local Verified",J37*0.25,J37))</x:f>
        <x:v>2.5</x:v>
      </x:c>
    </x:row>
    <x:row r="38">
      <x:c r="A38" s="77" t="str">
        <x:v>P-037</x:v>
      </x:c>
      <x:c r="B38" s="77" t="str">
        <x:v>S4</x:v>
      </x:c>
      <x:c r="C38" s="77" t="str">
        <x:v>Reverse Verification</x:v>
      </x:c>
      <x:c r="D38" s="77" t="str">
        <x:v>Replay a consequential operation and prove duplicate execution is blocked</x:v>
      </x:c>
      <x:c r="E38" s="77" t="str">
        <x:v>LOCAL_WINDOWS</x:v>
      </x:c>
      <x:c r="F38" s="77" t="str">
        <x:v>P0</x:v>
      </x:c>
      <x:c r="G38" s="77" t="str">
        <x:v>Local Verified</x:v>
      </x:c>
      <x:c r="H38" s="77" t="str">
        <x:v>P-025</x:v>
      </x:c>
      <x:c r="I38" s="85" t="n">
        <x:v>0.15</x:v>
      </x:c>
      <x:c r="J38" s="77" t="n">
        <x:v>10</x:v>
      </x:c>
      <x:c r="K38" s="77" t="n">
        <x:v>1</x:v>
      </x:c>
      <x:c r="L38" s="99" t="n">
        <x:v>46223.288194444445</x:v>
      </x:c>
      <x:c r="M38" s="77" t="str">
        <x:v>Replay guard records duplicate denial</x:v>
      </x:c>
      <x:c r="N38" s="77" t="str">
        <x:v>Duplicate operation executes</x:v>
      </x:c>
      <x:c r="O38" s="77" t="str">
        <x:v>Replay safety is verified</x:v>
      </x:c>
      <x:c r="P38" s="85" t="n">
        <x:f>IF(G38="Verified",0,IF(G38="Local Verified",I38*0.25,I38))</x:f>
        <x:v>0.0375</x:v>
      </x:c>
      <x:c r="Q38" s="77" t="n">
        <x:f>IF(G38="Verified",0,IF(G38="Local Verified",J38*0.25,J38))</x:f>
        <x:v>2.5</x:v>
      </x:c>
    </x:row>
    <x:row r="39">
      <x:c r="A39" s="77" t="str">
        <x:v>P-038</x:v>
      </x:c>
      <x:c r="B39" s="77" t="str">
        <x:v>S4</x:v>
      </x:c>
      <x:c r="C39" s="77" t="str">
        <x:v>Reverse Verification</x:v>
      </x:c>
      <x:c r="D39" s="77" t="str">
        <x:v>Remove a mandatory criterion and prove SECA blocks promotion</x:v>
      </x:c>
      <x:c r="E39" s="77" t="str">
        <x:v>LOCAL_WINDOWS</x:v>
      </x:c>
      <x:c r="F39" s="77" t="str">
        <x:v>P0</x:v>
      </x:c>
      <x:c r="G39" s="77" t="str">
        <x:v>Local Verified</x:v>
      </x:c>
      <x:c r="H39" s="77" t="str">
        <x:v>P-030</x:v>
      </x:c>
      <x:c r="I39" s="85" t="n">
        <x:v>0.15</x:v>
      </x:c>
      <x:c r="J39" s="77" t="n">
        <x:v>10</x:v>
      </x:c>
      <x:c r="K39" s="77" t="n">
        <x:v>1</x:v>
      </x:c>
      <x:c r="L39" s="99" t="n">
        <x:v>46223.29513888889</x:v>
      </x:c>
      <x:c r="M39" s="77" t="str">
        <x:v>Promotion fails with missing-evidence explanation</x:v>
      </x:c>
      <x:c r="N39" s="77" t="str">
        <x:v>Promotion succeeds without criterion</x:v>
      </x:c>
      <x:c r="O39" s="77" t="str">
        <x:v>Promotion requires evidence</x:v>
      </x:c>
      <x:c r="P39" s="85" t="n">
        <x:f>IF(G39="Verified",0,IF(G39="Local Verified",I39*0.25,I39))</x:f>
        <x:v>0.0375</x:v>
      </x:c>
      <x:c r="Q39" s="77" t="n">
        <x:f>IF(G39="Verified",0,IF(G39="Local Verified",J39*0.25,J39))</x:f>
        <x:v>2.5</x:v>
      </x:c>
    </x:row>
    <x:row r="40">
      <x:c r="A40" s="77" t="str">
        <x:v>P-039</x:v>
      </x:c>
      <x:c r="B40" s="77" t="str">
        <x:v>S4</x:v>
      </x:c>
      <x:c r="C40" s="77" t="str">
        <x:v>Reverse Verification</x:v>
      </x:c>
      <x:c r="D40" s="77" t="str">
        <x:v>Inject an unsupported challenger claim and prove SECA rejects it</x:v>
      </x:c>
      <x:c r="E40" s="77" t="str">
        <x:v>LOCAL_WINDOWS</x:v>
      </x:c>
      <x:c r="F40" s="77" t="str">
        <x:v>P0</x:v>
      </x:c>
      <x:c r="G40" s="77" t="str">
        <x:v>Local Verified</x:v>
      </x:c>
      <x:c r="H40" s="77" t="str">
        <x:v>P-029</x:v>
      </x:c>
      <x:c r="I40" s="85" t="n">
        <x:v>0.15</x:v>
      </x:c>
      <x:c r="J40" s="77" t="n">
        <x:v>10</x:v>
      </x:c>
      <x:c r="K40" s="77" t="n">
        <x:v>1</x:v>
      </x:c>
      <x:c r="L40" s="99" t="n">
        <x:v>46223.302083333336</x:v>
      </x:c>
      <x:c r="M40" s="77" t="str">
        <x:v>Unsupported finding is rejected and logged</x:v>
      </x:c>
      <x:c r="N40" s="77" t="str">
        <x:v>Unsupported claim blocks promotion</x:v>
      </x:c>
      <x:c r="O40" s="77" t="str">
        <x:v>Adversarial claims are evidence-bound</x:v>
      </x:c>
      <x:c r="P40" s="85" t="n">
        <x:f>IF(G40="Verified",0,IF(G40="Local Verified",I40*0.25,I40))</x:f>
        <x:v>0.0375</x:v>
      </x:c>
      <x:c r="Q40" s="77" t="n">
        <x:f>IF(G40="Verified",0,IF(G40="Local Verified",J40*0.25,J40))</x:f>
        <x:v>2.5</x:v>
      </x:c>
    </x:row>
    <x:row r="41">
      <x:c r="A41" s="77" t="str">
        <x:v>P-040</x:v>
      </x:c>
      <x:c r="B41" s="77" t="str">
        <x:v>S4</x:v>
      </x:c>
      <x:c r="C41" s="77" t="str">
        <x:v>Release Convergence</x:v>
      </x:c>
      <x:c r="D41" s="77" t="str">
        <x:v>Update build ledger, task status, acceptance matrix, and known limitations</x:v>
      </x:c>
      <x:c r="E41" s="77" t="str">
        <x:v>CODEX_REPOSITORY</x:v>
      </x:c>
      <x:c r="F41" s="77" t="str">
        <x:v>P0</x:v>
      </x:c>
      <x:c r="G41" s="77" t="str">
        <x:v>Not Started</x:v>
      </x:c>
      <x:c r="H41" s="77" t="str">
        <x:v>P-016,P-025,P-031,P-033,P-035</x:v>
      </x:c>
      <x:c r="I41" s="85" t="n">
        <x:v>0.6</x:v>
      </x:c>
      <x:c r="J41" s="77" t="n">
        <x:v>38</x:v>
      </x:c>
      <x:c r="K41" s="77" t="n">
        <x:v>2</x:v>
      </x:c>
      <x:c r="L41" s="99" t="n">
        <x:v>46223.32638888889</x:v>
      </x:c>
      <x:c r="M41" s="77" t="str">
        <x:v>Every P0/P1 gate has status, evidence path, blocker, and claim state</x:v>
      </x:c>
      <x:c r="N41" s="77" t="str">
        <x:v>Documentation diverges from evidence</x:v>
      </x:c>
      <x:c r="O41" s="77" t="str">
        <x:v>One canonical completion ledger</x:v>
      </x:c>
      <x:c r="P41" s="85" t="n">
        <x:f>IF(G41="Verified",0,IF(G41="Local Verified",I41*0.25,I41))</x:f>
        <x:v>0.6</x:v>
      </x:c>
      <x:c r="Q41" s="77" t="n">
        <x:f>IF(G41="Verified",0,IF(G41="Local Verified",J41*0.25,J41))</x:f>
        <x:v>38</x:v>
      </x:c>
    </x:row>
    <x:row r="42">
      <x:c r="A42" s="77" t="str">
        <x:v>P-041</x:v>
      </x:c>
      <x:c r="B42" s="77" t="str">
        <x:v>S4</x:v>
      </x:c>
      <x:c r="C42" s="77" t="str">
        <x:v>Disclosure Review</x:v>
      </x:c>
      <x:c r="D42" s="77" t="str">
        <x:v>Run Medusa public/private disclosure and secret scrub</x:v>
      </x:c>
      <x:c r="E42" s="77" t="str">
        <x:v>HUMAN_REVIEW</x:v>
      </x:c>
      <x:c r="F42" s="77" t="str">
        <x:v>P0</x:v>
      </x:c>
      <x:c r="G42" s="77" t="str">
        <x:v>Not Started</x:v>
      </x:c>
      <x:c r="H42" s="77" t="str">
        <x:v>P-040</x:v>
      </x:c>
      <x:c r="I42" s="85" t="n">
        <x:v>0.55</x:v>
      </x:c>
      <x:c r="J42" s="77" t="n">
        <x:v>34</x:v>
      </x:c>
      <x:c r="K42" s="77" t="n">
        <x:v>2</x:v>
      </x:c>
      <x:c r="L42" s="99" t="n">
        <x:v>46223.34722222222</x:v>
      </x:c>
      <x:c r="M42" s="77" t="str">
        <x:v>No secrets/private paths; public claims match evidence; IP-sensitive internals classified</x:v>
      </x:c>
      <x:c r="N42" s="77" t="str">
        <x:v>Leak or overclaim discovered late</x:v>
      </x:c>
      <x:c r="O42" s="77" t="str">
        <x:v>Public package is safe to show</x:v>
      </x:c>
      <x:c r="P42" s="85" t="n">
        <x:f>IF(G42="Verified",0,IF(G42="Local Verified",I42*0.25,I42))</x:f>
        <x:v>0.55</x:v>
      </x:c>
      <x:c r="Q42" s="77" t="n">
        <x:f>IF(G42="Verified",0,IF(G42="Local Verified",J42*0.25,J42))</x:f>
        <x:v>34</x:v>
      </x:c>
    </x:row>
    <x:row r="43">
      <x:c r="A43" s="77" t="str">
        <x:v>P-042</x:v>
      </x:c>
      <x:c r="B43" s="77" t="str">
        <x:v>S4</x:v>
      </x:c>
      <x:c r="C43" s="77" t="str">
        <x:v>Release Convergence</x:v>
      </x:c>
      <x:c r="D43" s="77" t="str">
        <x:v>Generate final JSON/Markdown receipts, manifests, genomes, proof bundle, and release archive</x:v>
      </x:c>
      <x:c r="E43" s="77" t="str">
        <x:v>LOCAL_WINDOWS</x:v>
      </x:c>
      <x:c r="F43" s="77" t="str">
        <x:v>P0</x:v>
      </x:c>
      <x:c r="G43" s="77" t="str">
        <x:v>Not Started</x:v>
      </x:c>
      <x:c r="H43" s="77" t="str">
        <x:v>P-040,P-041</x:v>
      </x:c>
      <x:c r="I43" s="85" t="n">
        <x:v>0.65</x:v>
      </x:c>
      <x:c r="J43" s="77" t="n">
        <x:v>42</x:v>
      </x:c>
      <x:c r="K43" s="77" t="n">
        <x:v>3</x:v>
      </x:c>
      <x:c r="L43" s="99" t="n">
        <x:v>46223.37152777778</x:v>
      </x:c>
      <x:c r="M43" s="77" t="str">
        <x:v>All artifacts exist, verify, and carry final commit/timestamps/disclosure class</x:v>
      </x:c>
      <x:c r="N43" s="77" t="str">
        <x:v>Stale paths or mismatched hashes</x:v>
      </x:c>
      <x:c r="O43" s="77" t="str">
        <x:v>Final evidence bundle is coherent</x:v>
      </x:c>
      <x:c r="P43" s="85" t="n">
        <x:f>IF(G43="Verified",0,IF(G43="Local Verified",I43*0.25,I43))</x:f>
        <x:v>0.65</x:v>
      </x:c>
      <x:c r="Q43" s="77" t="n">
        <x:f>IF(G43="Verified",0,IF(G43="Local Verified",J43*0.25,J43))</x:f>
        <x:v>42</x:v>
      </x:c>
    </x:row>
    <x:row r="44">
      <x:c r="A44" s="77" t="str">
        <x:v>P-043</x:v>
      </x:c>
      <x:c r="B44" s="77" t="str">
        <x:v>S4</x:v>
      </x:c>
      <x:c r="C44" s="77" t="str">
        <x:v>Release Convergence</x:v>
      </x:c>
      <x:c r="D44" s="77" t="str">
        <x:v>Update README, CHANGELOG, RELEASE_CHECKLIST, competition submission doc, and contribution logs</x:v>
      </x:c>
      <x:c r="E44" s="77" t="str">
        <x:v>CODEX_REPOSITORY</x:v>
      </x:c>
      <x:c r="F44" s="77" t="str">
        <x:v>P0</x:v>
      </x:c>
      <x:c r="G44" s="77" t="str">
        <x:v>Not Started</x:v>
      </x:c>
      <x:c r="H44" s="77" t="str">
        <x:v>P-042</x:v>
      </x:c>
      <x:c r="I44" s="85" t="n">
        <x:v>0.7</x:v>
      </x:c>
      <x:c r="J44" s="77" t="n">
        <x:v>45</x:v>
      </x:c>
      <x:c r="K44" s="77" t="n">
        <x:v>3</x:v>
      </x:c>
      <x:c r="L44" s="99" t="n">
        <x:v>46223.399305555555</x:v>
      </x:c>
      <x:c r="M44" s="77" t="str">
        <x:v>Docs reproduce real commands and cite exact evidence artifacts</x:v>
      </x:c>
      <x:c r="N44" s="77" t="str">
        <x:v>Stale command or prohibited claim</x:v>
      </x:c>
      <x:c r="O44" s="77" t="str">
        <x:v>Judge-facing documentation is truthful</x:v>
      </x:c>
      <x:c r="P44" s="85" t="n">
        <x:f>IF(G44="Verified",0,IF(G44="Local Verified",I44*0.25,I44))</x:f>
        <x:v>0.7</x:v>
      </x:c>
      <x:c r="Q44" s="77" t="n">
        <x:f>IF(G44="Verified",0,IF(G44="Local Verified",J44*0.25,J44))</x:f>
        <x:v>45</x:v>
      </x:c>
    </x:row>
    <x:row r="45">
      <x:c r="A45" s="77" t="str">
        <x:v>P-044</x:v>
      </x:c>
      <x:c r="B45" s="77" t="str">
        <x:v>S4</x:v>
      </x:c>
      <x:c r="C45" s="77" t="str">
        <x:v>Release Convergence</x:v>
      </x:c>
      <x:c r="D45" s="77" t="str">
        <x:v>Create final release commit/tag and record exact SHA-256 values</x:v>
      </x:c>
      <x:c r="E45" s="77" t="str">
        <x:v>GITHUB_CONFIGURATION</x:v>
      </x:c>
      <x:c r="F45" s="77" t="str">
        <x:v>P0</x:v>
      </x:c>
      <x:c r="G45" s="77" t="str">
        <x:v>Not Started</x:v>
      </x:c>
      <x:c r="H45" s="77" t="str">
        <x:v>P-043</x:v>
      </x:c>
      <x:c r="I45" s="85" t="n">
        <x:v>0.4</x:v>
      </x:c>
      <x:c r="J45" s="77" t="n">
        <x:v>24</x:v>
      </x:c>
      <x:c r="K45" s="77" t="n">
        <x:v>2</x:v>
      </x:c>
      <x:c r="L45" s="99" t="n">
        <x:v>46223.413194444445</x:v>
      </x:c>
      <x:c r="M45" s="77" t="str">
        <x:v>Release commit/tag, wheel, sdist, proof bundle, and hashes are remotely visible</x:v>
      </x:c>
      <x:c r="N45" s="77" t="str">
        <x:v>Uncommitted evidence or tag mismatch</x:v>
      </x:c>
      <x:c r="O45" s="77" t="str">
        <x:v>Release candidate is immutable and reproducible</x:v>
      </x:c>
      <x:c r="P45" s="85" t="n">
        <x:f>IF(G45="Verified",0,IF(G45="Local Verified",I45*0.25,I45))</x:f>
        <x:v>0.4</x:v>
      </x:c>
      <x:c r="Q45" s="77" t="n">
        <x:f>IF(G45="Verified",0,IF(G45="Local Verified",J45*0.25,J45))</x:f>
        <x:v>24</x:v>
      </x:c>
    </x:row>
    <x:row r="46">
      <x:c r="A46" s="77" t="str">
        <x:v>P-045</x:v>
      </x:c>
      <x:c r="B46" s="77" t="str">
        <x:v>S4</x:v>
      </x:c>
      <x:c r="C46" s="77" t="str">
        <x:v>Independent Audit</x:v>
      </x:c>
      <x:c r="D46" s="77" t="str">
        <x:v>Run final independent Codex audit and fix material findings</x:v>
      </x:c>
      <x:c r="E46" s="77" t="str">
        <x:v>CODEX_REPOSITORY</x:v>
      </x:c>
      <x:c r="F46" s="77" t="str">
        <x:v>P1</x:v>
      </x:c>
      <x:c r="G46" s="77" t="str">
        <x:v>Not Started</x:v>
      </x:c>
      <x:c r="H46" s="77" t="str">
        <x:v>P-044</x:v>
      </x:c>
      <x:c r="I46" s="85" t="n">
        <x:v>0.9</x:v>
      </x:c>
      <x:c r="J46" s="77" t="n">
        <x:v>65</x:v>
      </x:c>
      <x:c r="K46" s="77" t="n">
        <x:v>4</x:v>
      </x:c>
      <x:c r="L46" s="99" t="n">
        <x:v>46223.45138888889</x:v>
      </x:c>
      <x:c r="M46" s="77" t="str">
        <x:v>Audit report, findings, fixes, retest, and final verdict archived</x:v>
      </x:c>
      <x:c r="N46" s="77" t="str">
        <x:v>Critical issue remains unresolved</x:v>
      </x:c>
      <x:c r="O46" s="77" t="str">
        <x:v>Final Codex hardening is proven</x:v>
      </x:c>
      <x:c r="P46" s="85" t="n">
        <x:f>IF(G46="Verified",0,IF(G46="Local Verified",I46*0.25,I46))</x:f>
        <x:v>0.9</x:v>
      </x:c>
      <x:c r="Q46" s="77" t="n">
        <x:f>IF(G46="Verified",0,IF(G46="Local Verified",J46*0.25,J46))</x:f>
        <x:v>65</x:v>
      </x:c>
    </x:row>
    <x:row r="47">
      <x:c r="A47" s="77" t="str">
        <x:v>P-046</x:v>
      </x:c>
      <x:c r="B47" s="77" t="str">
        <x:v>S5</x:v>
      </x:c>
      <x:c r="C47" s="77" t="str">
        <x:v>Demo</x:v>
      </x:c>
      <x:c r="D47" s="77" t="str">
        <x:v>Freeze the three-minute demo script against the actual golden path</x:v>
      </x:c>
      <x:c r="E47" s="77" t="str">
        <x:v>HUMAN_REVIEW</x:v>
      </x:c>
      <x:c r="F47" s="77" t="str">
        <x:v>P0</x:v>
      </x:c>
      <x:c r="G47" s="77" t="str">
        <x:v>Not Started</x:v>
      </x:c>
      <x:c r="H47" s="77" t="str">
        <x:v>P-042,P-045</x:v>
      </x:c>
      <x:c r="I47" s="85" t="n">
        <x:v>0.35</x:v>
      </x:c>
      <x:c r="J47" s="77" t="n">
        <x:v>20</x:v>
      </x:c>
      <x:c r="K47" s="77" t="n">
        <x:v>1</x:v>
      </x:c>
      <x:c r="L47" s="99" t="n">
        <x:v>46223.46527777778</x:v>
      </x:c>
      <x:c r="M47" s="77" t="str">
        <x:v>Script timestamps total &lt;= 3:00 and each scene maps to live evidence</x:v>
      </x:c>
      <x:c r="N47" s="77" t="str">
        <x:v>Script depends on unavailable behavior</x:v>
      </x:c>
      <x:c r="O47" s="77" t="str">
        <x:v>Demo story matches product truth</x:v>
      </x:c>
      <x:c r="P47" s="85" t="n">
        <x:f>IF(G47="Verified",0,IF(G47="Local Verified",I47*0.25,I47))</x:f>
        <x:v>0.35</x:v>
      </x:c>
      <x:c r="Q47" s="77" t="n">
        <x:f>IF(G47="Verified",0,IF(G47="Local Verified",J47*0.25,J47))</x:f>
        <x:v>20</x:v>
      </x:c>
    </x:row>
    <x:row r="48">
      <x:c r="A48" s="77" t="str">
        <x:v>P-047</x:v>
      </x:c>
      <x:c r="B48" s="77" t="str">
        <x:v>S5</x:v>
      </x:c>
      <x:c r="C48" s="77" t="str">
        <x:v>Demo</x:v>
      </x:c>
      <x:c r="D48" s="77" t="str">
        <x:v>Run three timed rehearsals and record timing/failure notes</x:v>
      </x:c>
      <x:c r="E48" s="77" t="str">
        <x:v>LOCAL_WINDOWS</x:v>
      </x:c>
      <x:c r="F48" s="77" t="str">
        <x:v>P0</x:v>
      </x:c>
      <x:c r="G48" s="77" t="str">
        <x:v>Not Started</x:v>
      </x:c>
      <x:c r="H48" s="77" t="str">
        <x:v>P-046</x:v>
      </x:c>
      <x:c r="I48" s="85" t="n">
        <x:v>0.75</x:v>
      </x:c>
      <x:c r="J48" s="77" t="n">
        <x:v>35</x:v>
      </x:c>
      <x:c r="K48" s="77" t="n">
        <x:v>3</x:v>
      </x:c>
      <x:c r="L48" s="99" t="n">
        <x:v>46223.49652777778</x:v>
      </x:c>
      <x:c r="M48" s="77" t="str">
        <x:v>Three runs complete; median &lt;= 3:00; failsafe path tested</x:v>
      </x:c>
      <x:c r="N48" s="77" t="str">
        <x:v>Unstable timing or demo nondeterminism</x:v>
      </x:c>
      <x:c r="O48" s="77" t="str">
        <x:v>Three-minute demo is repeatable</x:v>
      </x:c>
      <x:c r="P48" s="85" t="n">
        <x:f>IF(G48="Verified",0,IF(G48="Local Verified",I48*0.25,I48))</x:f>
        <x:v>0.75</x:v>
      </x:c>
      <x:c r="Q48" s="77" t="n">
        <x:f>IF(G48="Verified",0,IF(G48="Local Verified",J48*0.25,J48))</x:f>
        <x:v>35</x:v>
      </x:c>
    </x:row>
    <x:row r="49">
      <x:c r="A49" s="77" t="str">
        <x:v>P-048</x:v>
      </x:c>
      <x:c r="B49" s="77" t="str">
        <x:v>S5</x:v>
      </x:c>
      <x:c r="C49" s="77" t="str">
        <x:v>Demo</x:v>
      </x:c>
      <x:c r="D49" s="77" t="str">
        <x:v>Capture final screenshots of console, candidates, failover, receipt, genome, and ServerForge</x:v>
      </x:c>
      <x:c r="E49" s="77" t="str">
        <x:v>DEMO_RECORDING</x:v>
      </x:c>
      <x:c r="F49" s="77" t="str">
        <x:v>P0</x:v>
      </x:c>
      <x:c r="G49" s="77" t="str">
        <x:v>Not Started</x:v>
      </x:c>
      <x:c r="H49" s="77" t="str">
        <x:v>P-047</x:v>
      </x:c>
      <x:c r="I49" s="85" t="n">
        <x:v>0.45</x:v>
      </x:c>
      <x:c r="J49" s="77" t="n">
        <x:v>22</x:v>
      </x:c>
      <x:c r="K49" s="77" t="n">
        <x:v>2</x:v>
      </x:c>
      <x:c r="L49" s="99" t="n">
        <x:v>46223.51388888889</x:v>
      </x:c>
      <x:c r="M49" s="77" t="str">
        <x:v>Public-safe screenshots are legible and tied to evidence IDs</x:v>
      </x:c>
      <x:c r="N49" s="77" t="str">
        <x:v>Sensitive data or unreadable output</x:v>
      </x:c>
      <x:c r="O49" s="77" t="str">
        <x:v>Visual proof package exists</x:v>
      </x:c>
      <x:c r="P49" s="85" t="n">
        <x:f>IF(G49="Verified",0,IF(G49="Local Verified",I49*0.25,I49))</x:f>
        <x:v>0.45</x:v>
      </x:c>
      <x:c r="Q49" s="77" t="n">
        <x:f>IF(G49="Verified",0,IF(G49="Local Verified",J49*0.25,J49))</x:f>
        <x:v>22</x:v>
      </x:c>
    </x:row>
    <x:row r="50">
      <x:c r="A50" s="77" t="str">
        <x:v>P-049</x:v>
      </x:c>
      <x:c r="B50" s="77" t="str">
        <x:v>S5</x:v>
      </x:c>
      <x:c r="C50" s="77" t="str">
        <x:v>Demo</x:v>
      </x:c>
      <x:c r="D50" s="77" t="str">
        <x:v>Record and export the final demo video</x:v>
      </x:c>
      <x:c r="E50" s="77" t="str">
        <x:v>DEMO_RECORDING</x:v>
      </x:c>
      <x:c r="F50" s="77" t="str">
        <x:v>P0</x:v>
      </x:c>
      <x:c r="G50" s="77" t="str">
        <x:v>Not Started</x:v>
      </x:c>
      <x:c r="H50" s="77" t="str">
        <x:v>P-047,P-048</x:v>
      </x:c>
      <x:c r="I50" s="85" t="n">
        <x:v>0.9</x:v>
      </x:c>
      <x:c r="J50" s="77" t="n">
        <x:v>50</x:v>
      </x:c>
      <x:c r="K50" s="77" t="n">
        <x:v>4</x:v>
      </x:c>
      <x:c r="L50" s="99" t="n">
        <x:v>46223.54861111111</x:v>
      </x:c>
      <x:c r="M50" s="77" t="str">
        <x:v>Video plays, meets time/format limits, and shows required proof loop</x:v>
      </x:c>
      <x:c r="N50" s="77" t="str">
        <x:v>Recording failure or rule mismatch</x:v>
      </x:c>
      <x:c r="O50" s="77" t="str">
        <x:v>Judge-ready demo video</x:v>
      </x:c>
      <x:c r="P50" s="85" t="n">
        <x:f>IF(G50="Verified",0,IF(G50="Local Verified",I50*0.25,I50))</x:f>
        <x:v>0.9</x:v>
      </x:c>
      <x:c r="Q50" s="77" t="n">
        <x:f>IF(G50="Verified",0,IF(G50="Local Verified",J50*0.25,J50))</x:f>
        <x:v>50</x:v>
      </x:c>
    </x:row>
    <x:row r="51">
      <x:c r="A51" s="77" t="str">
        <x:v>P-050</x:v>
      </x:c>
      <x:c r="B51" s="77" t="str">
        <x:v>S5</x:v>
      </x:c>
      <x:c r="C51" s="77" t="str">
        <x:v>Judge Package</x:v>
      </x:c>
      <x:c r="D51" s="77" t="str">
        <x:v>Write a one-page judge quickstart and reproduction sequence</x:v>
      </x:c>
      <x:c r="E51" s="77" t="str">
        <x:v>CODEX_REPOSITORY</x:v>
      </x:c>
      <x:c r="F51" s="77" t="str">
        <x:v>P0</x:v>
      </x:c>
      <x:c r="G51" s="77" t="str">
        <x:v>Not Started</x:v>
      </x:c>
      <x:c r="H51" s="77" t="str">
        <x:v>P-044,P-046</x:v>
      </x:c>
      <x:c r="I51" s="85" t="n">
        <x:v>0.45</x:v>
      </x:c>
      <x:c r="J51" s="77" t="n">
        <x:v>25</x:v>
      </x:c>
      <x:c r="K51" s="77" t="n">
        <x:v>2</x:v>
      </x:c>
      <x:c r="L51" s="99" t="n">
        <x:v>46223.56597222222</x:v>
      </x:c>
      <x:c r="M51" s="77" t="str">
        <x:v>Fresh reviewer can install/run/verify with exact commands</x:v>
      </x:c>
      <x:c r="N51" s="77" t="str">
        <x:v>Instructions assume local hidden state</x:v>
      </x:c>
      <x:c r="O51" s="77" t="str">
        <x:v>Judges can reproduce the entry</x:v>
      </x:c>
      <x:c r="P51" s="85" t="n">
        <x:f>IF(G51="Verified",0,IF(G51="Local Verified",I51*0.25,I51))</x:f>
        <x:v>0.45</x:v>
      </x:c>
      <x:c r="Q51" s="77" t="n">
        <x:f>IF(G51="Verified",0,IF(G51="Local Verified",J51*0.25,J51))</x:f>
        <x:v>25</x:v>
      </x:c>
    </x:row>
    <x:row r="52">
      <x:c r="A52" s="77" t="str">
        <x:v>P-051</x:v>
      </x:c>
      <x:c r="B52" s="77" t="str">
        <x:v>S5</x:v>
      </x:c>
      <x:c r="C52" s="77" t="str">
        <x:v>Judge Package</x:v>
      </x:c>
      <x:c r="D52" s="77" t="str">
        <x:v>Regenerate the ServerForge case study from structured events</x:v>
      </x:c>
      <x:c r="E52" s="77" t="str">
        <x:v>LOCAL_WINDOWS</x:v>
      </x:c>
      <x:c r="F52" s="77" t="str">
        <x:v>P1</x:v>
      </x:c>
      <x:c r="G52" s="77" t="str">
        <x:v>Not Started</x:v>
      </x:c>
      <x:c r="H52" s="77" t="str">
        <x:v>P-022,P-031,P-042</x:v>
      </x:c>
      <x:c r="I52" s="85" t="n">
        <x:v>0.45</x:v>
      </x:c>
      <x:c r="J52" s="77" t="n">
        <x:v>28</x:v>
      </x:c>
      <x:c r="K52" s="77" t="n">
        <x:v>2</x:v>
      </x:c>
      <x:c r="L52" s="99" t="n">
        <x:v>46223.583333333336</x:v>
      </x:c>
      <x:c r="M52" s="77" t="str">
        <x:v>Case study chronology matches event IDs, commits, receipts, and limitations</x:v>
      </x:c>
      <x:c r="N52" s="77" t="str">
        <x:v>Narrative diverges from ledger</x:v>
      </x:c>
      <x:c r="O52" s="77" t="str">
        <x:v>Build process itself is proven</x:v>
      </x:c>
      <x:c r="P52" s="85" t="n">
        <x:f>IF(G52="Verified",0,IF(G52="Local Verified",I52*0.25,I52))</x:f>
        <x:v>0.45</x:v>
      </x:c>
      <x:c r="Q52" s="77" t="n">
        <x:f>IF(G52="Verified",0,IF(G52="Local Verified",J52*0.25,J52))</x:f>
        <x:v>28</x:v>
      </x:c>
    </x:row>
    <x:row r="53">
      <x:c r="A53" s="77" t="str">
        <x:v>P-052</x:v>
      </x:c>
      <x:c r="B53" s="77" t="str">
        <x:v>S5</x:v>
      </x:c>
      <x:c r="C53" s="77" t="str">
        <x:v>Judge Package</x:v>
      </x:c>
      <x:c r="D53" s="77" t="str">
        <x:v>Finalize architecture diagram and product story for submission</x:v>
      </x:c>
      <x:c r="E53" s="77" t="str">
        <x:v>HUMAN_REVIEW</x:v>
      </x:c>
      <x:c r="F53" s="77" t="str">
        <x:v>P1</x:v>
      </x:c>
      <x:c r="G53" s="77" t="str">
        <x:v>Not Started</x:v>
      </x:c>
      <x:c r="H53" s="77" t="str">
        <x:v>P-043,P-051</x:v>
      </x:c>
      <x:c r="I53" s="85" t="n">
        <x:v>0.4</x:v>
      </x:c>
      <x:c r="J53" s="77" t="n">
        <x:v>22</x:v>
      </x:c>
      <x:c r="K53" s="77" t="n">
        <x:v>2</x:v>
      </x:c>
      <x:c r="L53" s="99" t="n">
        <x:v>46223.59722222222</x:v>
      </x:c>
      <x:c r="M53" s="77" t="str">
        <x:v>Diagram and story show Codex → EDEN → PROMETHEUS self-build → proof without false claims</x:v>
      </x:c>
      <x:c r="N53" s="77" t="str">
        <x:v>Overcomplex or inaccurate diagram</x:v>
      </x:c>
      <x:c r="O53" s="77" t="str">
        <x:v>Big picture is instantly legible</x:v>
      </x:c>
      <x:c r="P53" s="85" t="n">
        <x:f>IF(G53="Verified",0,IF(G53="Local Verified",I53*0.25,I53))</x:f>
        <x:v>0.4</x:v>
      </x:c>
      <x:c r="Q53" s="77" t="n">
        <x:f>IF(G53="Verified",0,IF(G53="Local Verified",J53*0.25,J53))</x:f>
        <x:v>22</x:v>
      </x:c>
    </x:row>
    <x:row r="54">
      <x:c r="A54" s="77" t="str">
        <x:v>P-053</x:v>
      </x:c>
      <x:c r="B54" s="77" t="str">
        <x:v>S5</x:v>
      </x:c>
      <x:c r="C54" s="77" t="str">
        <x:v>Contest Compliance</x:v>
      </x:c>
      <x:c r="D54" s="77" t="str">
        <x:v>Verify current contest rules, deadline, eligibility, licensing, visibility, and required fields</x:v>
      </x:c>
      <x:c r="E54" s="77" t="str">
        <x:v>COMPETITION_SUBMISSION</x:v>
      </x:c>
      <x:c r="F54" s="77" t="str">
        <x:v>P0</x:v>
      </x:c>
      <x:c r="G54" s="77" t="str">
        <x:v>Blocked External</x:v>
      </x:c>
      <x:c r="H54" s="77" t="str"/>
      <x:c r="I54" s="85" t="n">
        <x:v>0.45</x:v>
      </x:c>
      <x:c r="J54" s="77" t="n">
        <x:v>22</x:v>
      </x:c>
      <x:c r="K54" s="77" t="n">
        <x:v>2</x:v>
      </x:c>
      <x:c r="L54" s="99" t="n">
        <x:v>46223.614583333336</x:v>
      </x:c>
      <x:c r="M54" s="77" t="str">
        <x:v>Current rules captured with source/date; checklist updated</x:v>
      </x:c>
      <x:c r="N54" s="77" t="str">
        <x:v>Rules unavailable or misunderstood</x:v>
      </x:c>
      <x:c r="O54" s="77" t="str">
        <x:v>Submission complies with current contest</x:v>
      </x:c>
      <x:c r="P54" s="85" t="n">
        <x:f>IF(G54="Verified",0,IF(G54="Local Verified",I54*0.25,I54))</x:f>
        <x:v>0.45</x:v>
      </x:c>
      <x:c r="Q54" s="77" t="n">
        <x:f>IF(G54="Verified",0,IF(G54="Local Verified",J54*0.25,J54))</x:f>
        <x:v>22</x:v>
      </x:c>
    </x:row>
    <x:row r="55">
      <x:c r="A55" s="77" t="str">
        <x:v>P-054</x:v>
      </x:c>
      <x:c r="B55" s="77" t="str">
        <x:v>S5</x:v>
      </x:c>
      <x:c r="C55" s="77" t="str">
        <x:v>Contest Compliance</x:v>
      </x:c>
      <x:c r="D55" s="77" t="str">
        <x:v>Complete a submission-form dry run with all assets and text</x:v>
      </x:c>
      <x:c r="E55" s="77" t="str">
        <x:v>COMPETITION_SUBMISSION</x:v>
      </x:c>
      <x:c r="F55" s="77" t="str">
        <x:v>P0</x:v>
      </x:c>
      <x:c r="G55" s="77" t="str">
        <x:v>Not Started</x:v>
      </x:c>
      <x:c r="H55" s="77" t="str">
        <x:v>P-049,P-050,P-052,P-053</x:v>
      </x:c>
      <x:c r="I55" s="85" t="n">
        <x:v>0.45</x:v>
      </x:c>
      <x:c r="J55" s="77" t="n">
        <x:v>24</x:v>
      </x:c>
      <x:c r="K55" s="77" t="n">
        <x:v>2</x:v>
      </x:c>
      <x:c r="L55" s="99" t="n">
        <x:v>46223.631944444445</x:v>
      </x:c>
      <x:c r="M55" s="77" t="str">
        <x:v>All fields populated; links work; upload sizes/formats accepted</x:v>
      </x:c>
      <x:c r="N55" s="77" t="str">
        <x:v>Missing field or asset format</x:v>
      </x:c>
      <x:c r="O55" s="77" t="str">
        <x:v>Submission package is complete</x:v>
      </x:c>
      <x:c r="P55" s="85" t="n">
        <x:f>IF(G55="Verified",0,IF(G55="Local Verified",I55*0.25,I55))</x:f>
        <x:v>0.45</x:v>
      </x:c>
      <x:c r="Q55" s="77" t="n">
        <x:f>IF(G55="Verified",0,IF(G55="Local Verified",J55*0.25,J55))</x:f>
        <x:v>24</x:v>
      </x:c>
    </x:row>
    <x:row r="56">
      <x:c r="A56" s="77" t="str">
        <x:v>P-055</x:v>
      </x:c>
      <x:c r="B56" s="77" t="str">
        <x:v>S5</x:v>
      </x:c>
      <x:c r="C56" s="77" t="str">
        <x:v>Submission</x:v>
      </x:c>
      <x:c r="D56" s="77" t="str">
        <x:v>Submit the final competition entry</x:v>
      </x:c>
      <x:c r="E56" s="77" t="str">
        <x:v>COMPETITION_SUBMISSION</x:v>
      </x:c>
      <x:c r="F56" s="77" t="str">
        <x:v>P0</x:v>
      </x:c>
      <x:c r="G56" s="77" t="str">
        <x:v>Not Started</x:v>
      </x:c>
      <x:c r="H56" s="77" t="str">
        <x:v>P-054</x:v>
      </x:c>
      <x:c r="I56" s="85" t="n">
        <x:v>0.3</x:v>
      </x:c>
      <x:c r="J56" s="77" t="n">
        <x:v>18</x:v>
      </x:c>
      <x:c r="K56" s="77" t="n">
        <x:v>1</x:v>
      </x:c>
      <x:c r="L56" s="99" t="n">
        <x:v>46223.645833333336</x:v>
      </x:c>
      <x:c r="M56" s="77" t="str">
        <x:v>Confirmation screen/email and submission ID archived</x:v>
      </x:c>
      <x:c r="N56" s="77" t="str">
        <x:v>Portal failure or missing authorization</x:v>
      </x:c>
      <x:c r="O56" s="77" t="str">
        <x:v>Entry is officially submitted</x:v>
      </x:c>
      <x:c r="P56" s="85" t="n">
        <x:f>IF(G56="Verified",0,IF(G56="Local Verified",I56*0.25,I56))</x:f>
        <x:v>0.3</x:v>
      </x:c>
      <x:c r="Q56" s="77" t="n">
        <x:f>IF(G56="Verified",0,IF(G56="Local Verified",J56*0.25,J56))</x:f>
        <x:v>18</x:v>
      </x:c>
    </x:row>
    <x:row r="57">
      <x:c r="A57" s="77" t="str">
        <x:v>P-056</x:v>
      </x:c>
      <x:c r="B57" s="77" t="str">
        <x:v>S5</x:v>
      </x:c>
      <x:c r="C57" s="77" t="str">
        <x:v>Submission</x:v>
      </x:c>
      <x:c r="D57" s="77" t="str">
        <x:v>Complete the required feedback action if applicable</x:v>
      </x:c>
      <x:c r="E57" s="77" t="str">
        <x:v>COMPETITION_SUBMISSION</x:v>
      </x:c>
      <x:c r="F57" s="77" t="str">
        <x:v>P0</x:v>
      </x:c>
      <x:c r="G57" s="77" t="str">
        <x:v>Not Started</x:v>
      </x:c>
      <x:c r="H57" s="77" t="str">
        <x:v>P-055,P-053</x:v>
      </x:c>
      <x:c r="I57" s="85" t="n">
        <x:v>0.15</x:v>
      </x:c>
      <x:c r="J57" s="77" t="n">
        <x:v>8</x:v>
      </x:c>
      <x:c r="K57" s="77" t="n">
        <x:v>1</x:v>
      </x:c>
      <x:c r="L57" s="99" t="n">
        <x:v>46223.65277777778</x:v>
      </x:c>
      <x:c r="M57" s="77" t="str">
        <x:v>Feedback confirmation archived or marked not required by verified rules</x:v>
      </x:c>
      <x:c r="N57" s="77" t="str">
        <x:v>Requirement overlooked</x:v>
      </x:c>
      <x:c r="O57" s="77" t="str">
        <x:v>All contest actions are closed</x:v>
      </x:c>
      <x:c r="P57" s="85" t="n">
        <x:f>IF(G57="Verified",0,IF(G57="Local Verified",I57*0.25,I57))</x:f>
        <x:v>0.15</x:v>
      </x:c>
      <x:c r="Q57" s="77" t="n">
        <x:f>IF(G57="Verified",0,IF(G57="Local Verified",J57*0.25,J57))</x:f>
        <x:v>8</x:v>
      </x:c>
    </x:row>
    <x:row r="58">
      <x:c r="A58" s="77" t="str">
        <x:v>P-057</x:v>
      </x:c>
      <x:c r="B58" s="77" t="str">
        <x:v>S5</x:v>
      </x:c>
      <x:c r="C58" s="77" t="str">
        <x:v>Submission</x:v>
      </x:c>
      <x:c r="D58" s="77" t="str">
        <x:v>Perform post-submission verification and archive the immutable final packet</x:v>
      </x:c>
      <x:c r="E58" s="77" t="str">
        <x:v>HUMAN_REVIEW</x:v>
      </x:c>
      <x:c r="F58" s="77" t="str">
        <x:v>P0</x:v>
      </x:c>
      <x:c r="G58" s="77" t="str">
        <x:v>Not Started</x:v>
      </x:c>
      <x:c r="H58" s="77" t="str">
        <x:v>P-055,P-056</x:v>
      </x:c>
      <x:c r="I58" s="85" t="n">
        <x:v>0.45</x:v>
      </x:c>
      <x:c r="J58" s="77" t="n">
        <x:v>25</x:v>
      </x:c>
      <x:c r="K58" s="77" t="n">
        <x:v>2</x:v>
      </x:c>
      <x:c r="L58" s="99" t="n">
        <x:v>46223.67013888889</x:v>
      </x:c>
      <x:c r="M58" s="77" t="str">
        <x:v>Submitted links, commit, release, video, hashes, and confirmation all reopen successfully</x:v>
      </x:c>
      <x:c r="N58" s="77" t="str">
        <x:v>Broken link or wrong commit</x:v>
      </x:c>
      <x:c r="O58" s="77" t="str">
        <x:v>Submission is safely sealed before 5:00 p.m.</x:v>
      </x:c>
      <x:c r="P58" s="85" t="n">
        <x:f>IF(G58="Verified",0,IF(G58="Local Verified",I58*0.25,I58))</x:f>
        <x:v>0.45</x:v>
      </x:c>
      <x:c r="Q58" s="77" t="n">
        <x:f>IF(G58="Verified",0,IF(G58="Local Verified",J58*0.25,J58))</x:f>
        <x:v>25</x:v>
      </x:c>
    </x:row>
  </x:sheetData>
  <x:conditionalFormatting sqref="G2:G58">
    <x:cfRule type="expression" dxfId="0" priority="1">
      <x:formula>G2="Verified"</x:formula>
    </x:cfRule>
    <x:cfRule type="expression" dxfId="1" priority="2">
      <x:formula>G2="Local Verified"</x:formula>
    </x:cfRule>
    <x:cfRule type="expression" dxfId="2" priority="3">
      <x:formula>G2="Blocked External"</x:formula>
    </x:cfRule>
    <x:cfRule type="expression" dxfId="3" priority="4">
      <x:formula>G2="Ready"</x:formula>
    </x:cfRule>
  </x:conditionalFormatting>
  <x:dataValidations count="2">
    <x:dataValidation type="list" sqref="G2:G58">
      <x:formula1>"Verified,Local Verified,Ready,Not Started,Blocked External,Blocked"</x:formula1>
    </x:dataValidation>
    <x:dataValidation type="list" sqref="F2:F5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d9838f249143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6" hidden="0" customWidth="1"/>
    <x:col min="4" max="4" width="24" hidden="0" customWidth="1"/>
    <x:col min="5" max="5" width="22" hidden="0" customWidth="1"/>
  </x:cols>
  <x:sheetData>
    <x:row r="1">
      <x:c r="A1" s="98" t="str">
        <x:v>Gate ID</x:v>
      </x:c>
      <x:c r="B1" s="98" t="str">
        <x:v>Capability</x:v>
      </x:c>
      <x:c r="C1" s="98" t="str">
        <x:v>Required Evidence</x:v>
      </x:c>
      <x:c r="D1" s="98" t="str">
        <x:v>Current State</x:v>
      </x:c>
      <x:c r="E1" s="98" t="str">
        <x:v>Mapped Tasks</x:v>
      </x:c>
    </x:row>
    <x:row r="2">
      <x:c r="A2" s="77" t="str">
        <x:v>P0-01</x:v>
      </x:c>
      <x:c r="B2" s="77" t="str">
        <x:v>Mission intake</x:v>
      </x:c>
      <x:c r="C2" s="77" t="str">
        <x:v>Validated YAML or JSON mission</x:v>
      </x:c>
      <x:c r="D2" s="77" t="str">
        <x:v>Local Verified</x:v>
      </x:c>
      <x:c r="E2" s="77" t="str">
        <x:v>P-012</x:v>
      </x:c>
    </x:row>
    <x:row r="3">
      <x:c r="A3" s="77" t="str">
        <x:v>P0-02</x:v>
      </x:c>
      <x:c r="B3" s="77" t="str">
        <x:v>Route novelty</x:v>
      </x:c>
      <x:c r="C3" s="77" t="str">
        <x:v>Scores plus regeneration event</x:v>
      </x:c>
      <x:c r="D3" s="77" t="str">
        <x:v>Local Verified</x:v>
      </x:c>
      <x:c r="E3" s="77" t="str">
        <x:v>P-012</x:v>
      </x:c>
    </x:row>
    <x:row r="4">
      <x:c r="A4" s="77" t="str">
        <x:v>P0-03</x:v>
      </x:c>
      <x:c r="B4" s="77" t="str">
        <x:v>Candidate isolation</x:v>
      </x:c>
      <x:c r="C4" s="77" t="str">
        <x:v>Distinct branches or worktrees</x:v>
      </x:c>
      <x:c r="D4" s="77" t="str">
        <x:v>Local Verified</x:v>
      </x:c>
      <x:c r="E4" s="77" t="str">
        <x:v>P-012</x:v>
      </x:c>
    </x:row>
    <x:row r="5">
      <x:c r="A5" s="77" t="str">
        <x:v>P0-04</x:v>
      </x:c>
      <x:c r="B5" s="77" t="str">
        <x:v>Real execution</x:v>
      </x:c>
      <x:c r="C5" s="77" t="str">
        <x:v>Commands, outputs, exit codes</x:v>
      </x:c>
      <x:c r="D5" s="77" t="str">
        <x:v>Local Verified</x:v>
      </x:c>
      <x:c r="E5" s="77" t="str">
        <x:v>P-012</x:v>
      </x:c>
    </x:row>
    <x:row r="6">
      <x:c r="A6" s="77" t="str">
        <x:v>P0-05</x:v>
      </x:c>
      <x:c r="B6" s="77" t="str">
        <x:v>Candidate A rejection</x:v>
      </x:c>
      <x:c r="C6" s="77" t="str">
        <x:v>Regression evidence</x:v>
      </x:c>
      <x:c r="D6" s="77" t="str">
        <x:v>Local Verified</x:v>
      </x:c>
      <x:c r="E6" s="77" t="str">
        <x:v>P-012</x:v>
      </x:c>
    </x:row>
    <x:row r="7">
      <x:c r="A7" s="77" t="str">
        <x:v>P0-06</x:v>
      </x:c>
      <x:c r="B7" s="77" t="str">
        <x:v>Candidate B rejection</x:v>
      </x:c>
      <x:c r="C7" s="77" t="str">
        <x:v>Security-boundary evidence</x:v>
      </x:c>
      <x:c r="D7" s="77" t="str">
        <x:v>Local Verified</x:v>
      </x:c>
      <x:c r="E7" s="77" t="str">
        <x:v>P-012</x:v>
      </x:c>
    </x:row>
    <x:row r="8">
      <x:c r="A8" s="77" t="str">
        <x:v>P0-07</x:v>
      </x:c>
      <x:c r="B8" s="77" t="str">
        <x:v>Candidate C challenge</x:v>
      </x:c>
      <x:c r="C8" s="77" t="str">
        <x:v>Replay-failure reproduction</x:v>
      </x:c>
      <x:c r="D8" s="77" t="str">
        <x:v>Local Verified</x:v>
      </x:c>
      <x:c r="E8" s="77" t="str">
        <x:v>P-012</x:v>
      </x:c>
    </x:row>
    <x:row r="9">
      <x:c r="A9" s="77" t="str">
        <x:v>P0-08</x:v>
      </x:c>
      <x:c r="B9" s="77" t="str">
        <x:v>Promotion block</x:v>
      </x:c>
      <x:c r="C9" s="77" t="str">
        <x:v>SECA decision and repair requirement</x:v>
      </x:c>
      <x:c r="D9" s="77" t="str">
        <x:v>Local Verified</x:v>
      </x:c>
      <x:c r="E9" s="77" t="str">
        <x:v>P-012</x:v>
      </x:c>
    </x:row>
    <x:row r="10">
      <x:c r="A10" s="77" t="str">
        <x:v>P0-09</x:v>
      </x:c>
      <x:c r="B10" s="77" t="str">
        <x:v>Repair and retest</x:v>
      </x:c>
      <x:c r="C10" s="77" t="str">
        <x:v>Diff plus full retest</x:v>
      </x:c>
      <x:c r="D10" s="77" t="str">
        <x:v>Local Verified</x:v>
      </x:c>
      <x:c r="E10" s="77" t="str">
        <x:v>P-012</x:v>
      </x:c>
    </x:row>
    <x:row r="11">
      <x:c r="A11" s="77" t="str">
        <x:v>P0-10</x:v>
      </x:c>
      <x:c r="B11" s="77" t="str">
        <x:v>Proof receipt</x:v>
      </x:c>
      <x:c r="C11" s="77" t="str">
        <x:v>JSON/Markdown receipt plus manifest</x:v>
      </x:c>
      <x:c r="D11" s="77" t="str">
        <x:v>Local Verified</x:v>
      </x:c>
      <x:c r="E11" s="77" t="str">
        <x:v>P-012</x:v>
      </x:c>
    </x:row>
    <x:row r="12">
      <x:c r="A12" s="77" t="str">
        <x:v>P0-11</x:v>
      </x:c>
      <x:c r="B12" s="77" t="str">
        <x:v>Capability Genome</x:v>
      </x:c>
      <x:c r="C12" s="77" t="str">
        <x:v>Genome tied to receipt hash</x:v>
      </x:c>
      <x:c r="D12" s="77" t="str">
        <x:v>Local Verified</x:v>
      </x:c>
      <x:c r="E12" s="77" t="str">
        <x:v>P-012</x:v>
      </x:c>
    </x:row>
    <x:row r="13">
      <x:c r="A13" s="77" t="str">
        <x:v>P0-12</x:v>
      </x:c>
      <x:c r="B13" s="77" t="str">
        <x:v>Structured events</x:v>
      </x:c>
      <x:c r="C13" s="77" t="str">
        <x:v>ServerForge JSONL transitions</x:v>
      </x:c>
      <x:c r="D13" s="77" t="str">
        <x:v>Local Verified</x:v>
      </x:c>
      <x:c r="E13" s="77" t="str">
        <x:v>P-012</x:v>
      </x:c>
    </x:row>
    <x:row r="14">
      <x:c r="A14" s="77" t="str">
        <x:v>P1-01</x:v>
      </x:c>
      <x:c r="B14" s="77" t="str">
        <x:v>Runtime continuity</x:v>
      </x:c>
      <x:c r="C14" s="77" t="str">
        <x:v>Checkpoint, failover, replay guard</x:v>
      </x:c>
      <x:c r="D14" s="77" t="str">
        <x:v>Needs Physical Proof</x:v>
      </x:c>
      <x:c r="E14" s="77" t="str">
        <x:v>P-025</x:v>
      </x:c>
    </x:row>
    <x:row r="15">
      <x:c r="A15" s="77" t="str">
        <x:v>P1-02</x:v>
      </x:c>
      <x:c r="B15" s="77" t="str">
        <x:v>Recursive self-build</x:v>
      </x:c>
      <x:c r="C15" s="77" t="str">
        <x:v>Receipt against PROMETHEUS repo</x:v>
      </x:c>
      <x:c r="D15" s="77" t="str">
        <x:v>Incomplete</x:v>
      </x:c>
      <x:c r="E15" s="77" t="str">
        <x:v>P-031</x:v>
      </x:c>
    </x:row>
    <x:row r="16">
      <x:c r="A16" s="77" t="str">
        <x:v>P1-03</x:v>
      </x:c>
      <x:c r="B16" s="77" t="str">
        <x:v>Positive genome reuse</x:v>
      </x:c>
      <x:c r="C16" s="77" t="str">
        <x:v>Second-repo match and fresh proof</x:v>
      </x:c>
      <x:c r="D16" s="77" t="str">
        <x:v>Incomplete</x:v>
      </x:c>
      <x:c r="E16" s="77" t="str">
        <x:v>P-033</x:v>
      </x:c>
    </x:row>
    <x:row r="17">
      <x:c r="A17" s="77" t="str">
        <x:v>P1-04</x:v>
      </x:c>
      <x:c r="B17" s="77" t="str">
        <x:v>Olympian Console</x:v>
      </x:c>
      <x:c r="C17" s="77" t="str">
        <x:v>Displayed state matches receipt</x:v>
      </x:c>
      <x:c r="D17" s="77" t="str">
        <x:v>Needs Re-run</x:v>
      </x:c>
      <x:c r="E17" s="77" t="str">
        <x:v>P-035</x:v>
      </x:c>
    </x:row>
    <x:row r="18">
      <x:c r="A18" s="77" t="str">
        <x:v>P1-05</x:v>
      </x:c>
      <x:c r="B18" s="77" t="str">
        <x:v>Clean installation</x:v>
      </x:c>
      <x:c r="C18" s="77" t="str">
        <x:v>Fresh environment smoke test</x:v>
      </x:c>
      <x:c r="D18" s="77" t="str">
        <x:v>Needs Standard Build</x:v>
      </x:c>
      <x:c r="E18" s="77" t="str">
        <x:v>P-014</x:v>
      </x:c>
    </x:row>
    <x:row r="19">
      <x:c r="A19" s="77" t="str">
        <x:v>P1-06</x:v>
      </x:c>
      <x:c r="B19" s="77" t="str">
        <x:v>Case study</x:v>
      </x:c>
      <x:c r="C19" s="77" t="str">
        <x:v>Generated from structured events</x:v>
      </x:c>
      <x:c r="D19" s="77" t="str">
        <x:v>Needs Final Regeneration</x:v>
      </x:c>
      <x:c r="E19" s="77" t="str">
        <x:v>P-051</x:v>
      </x:c>
    </x:row>
    <x:row r="20">
      <x:c r="A20" s="77" t="str">
        <x:v>P1-07</x:v>
      </x:c>
      <x:c r="B20" s="77" t="str">
        <x:v>Final Codex audit</x:v>
      </x:c>
      <x:c r="C20" s="77" t="str">
        <x:v>Recorded review, fixes, retest</x:v>
      </x:c>
      <x:c r="D20" s="77" t="str">
        <x:v>Incomplete</x:v>
      </x:c>
      <x:c r="E20" s="77" t="str">
        <x:v>P-045</x:v>
      </x:c>
    </x:row>
    <x:row r="21">
      <x:c r="A21" s="77" t="str">
        <x:v>EXT-01</x:v>
      </x:c>
      <x:c r="B21" s="77" t="str">
        <x:v>Remote source and CI</x:v>
      </x:c>
      <x:c r="C21" s="77" t="str">
        <x:v>Strong implementation reachable on GitHub</x:v>
      </x:c>
      <x:c r="D21" s="77" t="str">
        <x:v>Missing</x:v>
      </x:c>
      <x:c r="E21" s="77" t="str">
        <x:v>P-008,P-016</x:v>
      </x:c>
    </x:row>
    <x:row r="22">
      <x:c r="A22" s="77" t="str">
        <x:v>EXT-02</x:v>
      </x:c>
      <x:c r="B22" s="77" t="str">
        <x:v>Live GPT-5.6</x:v>
      </x:c>
      <x:c r="C22" s="77" t="str">
        <x:v>Material call and contribution record</x:v>
      </x:c>
      <x:c r="D22" s="77" t="str">
        <x:v>Missing</x:v>
      </x:c>
      <x:c r="E22" s="77" t="str">
        <x:v>P-018,P-019</x:v>
      </x:c>
    </x:row>
    <x:row r="23">
      <x:c r="A23" s="77" t="str">
        <x:v>EXT-03</x:v>
      </x:c>
      <x:c r="B23" s="77" t="str">
        <x:v>Live Discord</x:v>
      </x:c>
      <x:c r="C23" s="77" t="str">
        <x:v>Sanitized webhook delivery</x:v>
      </x:c>
      <x:c r="D23" s="77" t="str">
        <x:v>Missing</x:v>
      </x:c>
      <x:c r="E23" s="77" t="str">
        <x:v>P-021,P-022</x:v>
      </x:c>
    </x:row>
    <x:row r="24">
      <x:c r="A24" s="77" t="str">
        <x:v>SUB-01</x:v>
      </x:c>
      <x:c r="B24" s="77" t="str">
        <x:v>Judge package</x:v>
      </x:c>
      <x:c r="C24" s="77" t="str">
        <x:v>Video, quickstart, screenshots, proof bundle</x:v>
      </x:c>
      <x:c r="D24" s="77" t="str">
        <x:v>Incomplete</x:v>
      </x:c>
      <x:c r="E24" s="77" t="str">
        <x:v>P-046:P-054</x:v>
      </x:c>
    </x:row>
    <x:row r="25">
      <x:c r="A25" s="77" t="str">
        <x:v>SUB-02</x:v>
      </x:c>
      <x:c r="B25" s="77" t="str">
        <x:v>Submission</x:v>
      </x:c>
      <x:c r="C25" s="77" t="str">
        <x:v>Portal confirmation and post-check</x:v>
      </x:c>
      <x:c r="D25" s="77" t="str">
        <x:v>Incomplete</x:v>
      </x:c>
      <x:c r="E25" s="77" t="str">
        <x:v>P-055:P-057</x:v>
      </x:c>
    </x:row>
  </x:sheetData>
  <x:conditionalFormatting sqref="D2:D25">
    <x:cfRule type="expression" dxfId="4" priority="1">
      <x:formula>D2="Local Verified"</x:formula>
    </x:cfRule>
    <x:cfRule type="expression" dxfId="5" priority="2">
      <x:formula>OR(D2="Missing",D2="Incomplete")</x:formula>
    </x:cfRule>
    <x:cfRule type="expression" dxfId="6" priority="3">
      <x:formula>LEFT(D2,5)="Needs"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1b05c1d8824e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38" hidden="0" customWidth="1"/>
    <x:col min="5" max="5" width="38" hidden="0" customWidth="1"/>
    <x:col min="6" max="6" width="14" hidden="0" customWidth="1"/>
  </x:cols>
  <x:sheetData>
    <x:row r="1">
      <x:c r="A1" s="98" t="str">
        <x:v>Start</x:v>
      </x:c>
      <x:c r="B1" s="98" t="str">
        <x:v>End</x:v>
      </x:c>
      <x:c r="C1" s="98" t="str">
        <x:v>Lane</x:v>
      </x:c>
      <x:c r="D1" s="98" t="str">
        <x:v>Focus</x:v>
      </x:c>
      <x:c r="E1" s="98" t="str">
        <x:v>Exit Proof</x:v>
      </x:c>
      <x:c r="F1" s="98" t="str">
        <x:v>Duration Hours</x:v>
      </x:c>
    </x:row>
    <x:row r="2">
      <x:c r="A2" s="99" t="n">
        <x:v>46222.427083333336</x:v>
      </x:c>
      <x:c r="B2" s="99" t="n">
        <x:v>46222.552083333336</x:v>
      </x:c>
      <x:c r="C2" s="77" t="str">
        <x:v>S0</x:v>
      </x:c>
      <x:c r="D2" s="77" t="str">
        <x:v>Truth convergence and remote rescue</x:v>
      </x:c>
      <x:c r="E2" s="77" t="str">
        <x:v>One authoritative reachable commit</x:v>
      </x:c>
      <x:c r="F2" s="85" t="n">
        <x:f>(B2-A2)*24</x:f>
        <x:v>3</x:v>
      </x:c>
    </x:row>
    <x:row r="3">
      <x:c r="A3" s="99" t="n">
        <x:v>46222.552083333336</x:v>
      </x:c>
      <x:c r="B3" s="99" t="n">
        <x:v>46222.572916666664</x:v>
      </x:c>
      <x:c r="C3" s="77" t="str">
        <x:v>BREAK</x:v>
      </x:c>
      <x:c r="D3" s="77" t="str">
        <x:v>Food and reset</x:v>
      </x:c>
      <x:c r="E3" s="77" t="str">
        <x:v>No project decisions</x:v>
      </x:c>
      <x:c r="F3" s="85" t="n">
        <x:f>(B3-A3)*24</x:f>
        <x:v>0.4999999998835847</x:v>
      </x:c>
    </x:row>
    <x:row r="4">
      <x:c r="A4" s="99" t="n">
        <x:v>46222.572916666664</x:v>
      </x:c>
      <x:c r="B4" s="99" t="n">
        <x:v>46222.708333333336</x:v>
      </x:c>
      <x:c r="C4" s="77" t="str">
        <x:v>S1</x:v>
      </x:c>
      <x:c r="D4" s="77" t="str">
        <x:v>Clean build, package, install, and CI</x:v>
      </x:c>
      <x:c r="E4" s="77" t="str">
        <x:v>Green baseline seal</x:v>
      </x:c>
      <x:c r="F4" s="85" t="n">
        <x:f>(B4-A4)*24</x:f>
        <x:v>3.2500000001164153</x:v>
      </x:c>
    </x:row>
    <x:row r="5">
      <x:c r="A5" s="99" t="n">
        <x:v>46222.708333333336</x:v>
      </x:c>
      <x:c r="B5" s="99" t="n">
        <x:v>46222.729166666664</x:v>
      </x:c>
      <x:c r="C5" s="77" t="str">
        <x:v>BREAK</x:v>
      </x:c>
      <x:c r="D5" s="77" t="str">
        <x:v>Walk, food, hydration</x:v>
      </x:c>
      <x:c r="E5" s="77" t="str">
        <x:v>Reset attention</x:v>
      </x:c>
      <x:c r="F5" s="85" t="n">
        <x:f>(B5-A5)*24</x:f>
        <x:v>0.4999999998835847</x:v>
      </x:c>
    </x:row>
    <x:row r="6">
      <x:c r="A6" s="99" t="n">
        <x:v>46222.729166666664</x:v>
      </x:c>
      <x:c r="B6" s="99" t="n">
        <x:v>46222.864583333336</x:v>
      </x:c>
      <x:c r="C6" s="77" t="str">
        <x:v>S2</x:v>
      </x:c>
      <x:c r="D6" s="77" t="str">
        <x:v>GPT-5.6, Discord, Windows/WSL continuity</x:v>
      </x:c>
      <x:c r="E6" s="77" t="str">
        <x:v>Live integration evidence or exact blockers</x:v>
      </x:c>
      <x:c r="F6" s="85" t="n">
        <x:f>(B6-A6)*24</x:f>
        <x:v>3.2500000001164153</x:v>
      </x:c>
    </x:row>
    <x:row r="7">
      <x:c r="A7" s="99" t="n">
        <x:v>46222.864583333336</x:v>
      </x:c>
      <x:c r="B7" s="99" t="n">
        <x:v>46222.885416666664</x:v>
      </x:c>
      <x:c r="C7" s="77" t="str">
        <x:v>BREAK</x:v>
      </x:c>
      <x:c r="D7" s="77" t="str">
        <x:v>Dinner and shutdown prep</x:v>
      </x:c>
      <x:c r="E7" s="77" t="str">
        <x:v>Prevent late-night branching</x:v>
      </x:c>
      <x:c r="F7" s="85" t="n">
        <x:f>(B7-A7)*24</x:f>
        <x:v>0.4999999998835847</x:v>
      </x:c>
    </x:row>
    <x:row r="8">
      <x:c r="A8" s="99" t="n">
        <x:v>46222.885416666664</x:v>
      </x:c>
      <x:c r="B8" s="99" t="n">
        <x:v>46222.989583333336</x:v>
      </x:c>
      <x:c r="C8" s="77" t="str">
        <x:v>S3-A</x:v>
      </x:c>
      <x:c r="D8" s="77" t="str">
        <x:v>Bounded recursive self-build and challenge</x:v>
      </x:c>
      <x:c r="E8" s="77" t="str">
        <x:v>Blocked route, repair path, checkpoint</x:v>
      </x:c>
      <x:c r="F8" s="85" t="n">
        <x:f>(B8-A8)*24</x:f>
        <x:v>2.5000000001164153</x:v>
      </x:c>
    </x:row>
    <x:row r="9">
      <x:c r="A9" s="99" t="n">
        <x:v>46222.989583333336</x:v>
      </x:c>
      <x:c r="B9" s="99" t="n">
        <x:v>46223.270833333336</x:v>
      </x:c>
      <x:c r="C9" s="77" t="str">
        <x:v>SLEEP</x:v>
      </x:c>
      <x:c r="D9" s="77" t="str">
        <x:v>Protected sleep block</x:v>
      </x:c>
      <x:c r="E9" s="77" t="str">
        <x:v>No building</x:v>
      </x:c>
      <x:c r="F9" s="85" t="n">
        <x:f>(B9-A9)*24</x:f>
        <x:v>6.75</x:v>
      </x:c>
    </x:row>
    <x:row r="10">
      <x:c r="A10" s="99" t="n">
        <x:v>46223.270833333336</x:v>
      </x:c>
      <x:c r="B10" s="99" t="n">
        <x:v>46223.333333333336</x:v>
      </x:c>
      <x:c r="C10" s="77" t="str">
        <x:v>S3-B</x:v>
      </x:c>
      <x:c r="D10" s="77" t="str">
        <x:v>Complete self-build receipt, genome reuse, console truth</x:v>
      </x:c>
      <x:c r="E10" s="77" t="str">
        <x:v>Signature proof sequence complete</x:v>
      </x:c>
      <x:c r="F10" s="85" t="n">
        <x:f>(B10-A10)*24</x:f>
        <x:v>1.5</x:v>
      </x:c>
    </x:row>
    <x:row r="11">
      <x:c r="A11" s="99" t="n">
        <x:v>46223.333333333336</x:v>
      </x:c>
      <x:c r="B11" s="99" t="n">
        <x:v>46223.458333333336</x:v>
      </x:c>
      <x:c r="C11" s="77" t="str">
        <x:v>S4</x:v>
      </x:c>
      <x:c r="D11" s="77" t="str">
        <x:v>Reverse verification, convergence, final audit</x:v>
      </x:c>
      <x:c r="E11" s="77" t="str">
        <x:v>Release candidate sealed</x:v>
      </x:c>
      <x:c r="F11" s="85" t="n">
        <x:f>(B11-A11)*24</x:f>
        <x:v>3</x:v>
      </x:c>
    </x:row>
    <x:row r="12">
      <x:c r="A12" s="99" t="n">
        <x:v>46223.458333333336</x:v>
      </x:c>
      <x:c r="B12" s="99" t="n">
        <x:v>46223.47222222222</x:v>
      </x:c>
      <x:c r="C12" s="77" t="str">
        <x:v>BREAK</x:v>
      </x:c>
      <x:c r="D12" s="77" t="str">
        <x:v>Food and voice reset</x:v>
      </x:c>
      <x:c r="E12" s="77" t="str">
        <x:v>Demo readiness</x:v>
      </x:c>
      <x:c r="F12" s="85" t="n">
        <x:f>(B12-A12)*24</x:f>
        <x:v>0.33333333319751546</x:v>
      </x:c>
    </x:row>
    <x:row r="13">
      <x:c r="A13" s="99" t="n">
        <x:v>46223.47222222222</x:v>
      </x:c>
      <x:c r="B13" s="99" t="n">
        <x:v>46223.61111111111</x:v>
      </x:c>
      <x:c r="C13" s="77" t="str">
        <x:v>S5</x:v>
      </x:c>
      <x:c r="D13" s="77" t="str">
        <x:v>Demo, video, judge package, compliance</x:v>
      </x:c>
      <x:c r="E13" s="77" t="str">
        <x:v>Submission package complete</x:v>
      </x:c>
      <x:c r="F13" s="85" t="n">
        <x:f>(B13-A13)*24</x:f>
        <x:v>3.3333333333721384</x:v>
      </x:c>
    </x:row>
    <x:row r="14">
      <x:c r="A14" s="99" t="n">
        <x:v>46223.61111111111</x:v>
      </x:c>
      <x:c r="B14" s="99" t="n">
        <x:v>46223.645833333336</x:v>
      </x:c>
      <x:c r="C14" s="77" t="str">
        <x:v>SUBMIT</x:v>
      </x:c>
      <x:c r="D14" s="77" t="str">
        <x:v>Submission and feedback actions</x:v>
      </x:c>
      <x:c r="E14" s="77" t="str">
        <x:v>Confirmation captured</x:v>
      </x:c>
      <x:c r="F14" s="85" t="n">
        <x:f>(B14-A14)*24</x:f>
        <x:v>0.8333333334303461</x:v>
      </x:c>
    </x:row>
    <x:row r="15">
      <x:c r="A15" s="29" t="n">
        <x:v>46223.645833333336</x:v>
      </x:c>
      <x:c r="B15" s="29" t="n">
        <x:v>46223.708333333336</x:v>
      </x:c>
      <x:c r="C15" s="16" t="str">
        <x:v>BUFFER</x:v>
      </x:c>
      <x:c r="D15" s="16" t="str">
        <x:v>Post-submit verification and contingency</x:v>
      </x:c>
      <x:c r="E15" s="16" t="str">
        <x:v>Deadline protected</x:v>
      </x:c>
      <x:c r="F15" s="28" t="n">
        <x:f>(B15-A15)*24</x:f>
        <x:v>1.5</x:v>
      </x:c>
    </x:row>
  </x:sheetData>
  <x:pageMargins left="0.7" right="0.7" top="0.75" bottom="0.75" header="0.3" footer="0.3"/>
  <x:tableParts count="1">
    <x:tablePart xmlns:r="http://schemas.openxmlformats.org/officeDocument/2006/relationships" r:id="R1560477bd6104da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2" hidden="0" customWidth="1"/>
    <x:col min="4" max="4" width="55" hidden="0" customWidth="1"/>
    <x:col min="5" max="5" width="10" hidden="0" customWidth="1"/>
    <x:col min="6" max="6" width="12" hidden="0" customWidth="1"/>
  </x:cols>
  <x:sheetData>
    <x:row r="1">
      <x:c r="A1" s="98" t="str">
        <x:v>Risk ID</x:v>
      </x:c>
      <x:c r="B1" s="98" t="str">
        <x:v>Severity</x:v>
      </x:c>
      <x:c r="C1" s="98" t="str">
        <x:v>Risk</x:v>
      </x:c>
      <x:c r="D1" s="98" t="str">
        <x:v>Mitigation / Decision Rule</x:v>
      </x:c>
      <x:c r="E1" s="98" t="str">
        <x:v>Sprint</x:v>
      </x:c>
      <x:c r="F1" s="98" t="str">
        <x:v>State</x:v>
      </x:c>
    </x:row>
    <x:row r="2">
      <x:c r="A2" s="77" t="str">
        <x:v>R-01</x:v>
      </x:c>
      <x:c r="B2" s="77" t="str">
        <x:v>Critical</x:v>
      </x:c>
      <x:c r="C2" s="77" t="str">
        <x:v>Local implementation commit cannot be recovered</x:v>
      </x:c>
      <x:c r="D2" s="77" t="str">
        <x:v>Protect strongest reachable lineage and push recovery branch before any new work</x:v>
      </x:c>
      <x:c r="E2" s="77" t="str">
        <x:v>S0</x:v>
      </x:c>
      <x:c r="F2" s="77" t="str">
        <x:v>Open</x:v>
      </x:c>
    </x:row>
    <x:row r="3">
      <x:c r="A3" s="77" t="str">
        <x:v>R-02</x:v>
      </x:c>
      <x:c r="B3" s="77" t="str">
        <x:v>Critical</x:v>
      </x:c>
      <x:c r="C3" s="77" t="str">
        <x:v>Remote canon and implementation histories diverge</x:v>
      </x:c>
      <x:c r="D3" s="77" t="str">
        <x:v>Reconcile through recovery branch and PR; never force-push</x:v>
      </x:c>
      <x:c r="E3" s="77" t="str">
        <x:v>S0</x:v>
      </x:c>
      <x:c r="F3" s="77" t="str">
        <x:v>Open</x:v>
      </x:c>
    </x:row>
    <x:row r="4">
      <x:c r="A4" s="77" t="str">
        <x:v>R-03</x:v>
      </x:c>
      <x:c r="B4" s="77" t="str">
        <x:v>High</x:v>
      </x:c>
      <x:c r="C4" s="77" t="str">
        <x:v>Windows/WSL failover consumes the schedule</x:v>
      </x:c>
      <x:c r="D4" s="77" t="str">
        <x:v>Time-box physical failover to 75 minutes; preserve honest limitation if infrastructure fails</x:v>
      </x:c>
      <x:c r="E4" s="77" t="str">
        <x:v>S2</x:v>
      </x:c>
      <x:c r="F4" s="77" t="str">
        <x:v>Open</x:v>
      </x:c>
    </x:row>
    <x:row r="5">
      <x:c r="A5" s="77" t="str">
        <x:v>R-04</x:v>
      </x:c>
      <x:c r="B5" s="77" t="str">
        <x:v>High</x:v>
      </x:c>
      <x:c r="C5" s="77" t="str">
        <x:v>Source-mutating recursive self-build expands uncontrollably</x:v>
      </x:c>
      <x:c r="D5" s="77" t="str">
        <x:v>Use a tiny bounded mission with explicit rollback and one-file or one-module scope</x:v>
      </x:c>
      <x:c r="E5" s="77" t="str">
        <x:v>S3</x:v>
      </x:c>
      <x:c r="F5" s="77" t="str">
        <x:v>Open</x:v>
      </x:c>
    </x:row>
    <x:row r="6">
      <x:c r="A6" s="77" t="str">
        <x:v>R-05</x:v>
      </x:c>
      <x:c r="B6" s="77" t="str">
        <x:v>High</x:v>
      </x:c>
      <x:c r="C6" s="77" t="str">
        <x:v>Positive genome reuse target is too complex</x:v>
      </x:c>
      <x:c r="D6" s="77" t="str">
        <x:v>Use a small arena repository with known tests and clear reuse conditions</x:v>
      </x:c>
      <x:c r="E6" s="77" t="str">
        <x:v>S3</x:v>
      </x:c>
      <x:c r="F6" s="77" t="str">
        <x:v>Open</x:v>
      </x:c>
    </x:row>
    <x:row r="7">
      <x:c r="A7" s="77" t="str">
        <x:v>R-06</x:v>
      </x:c>
      <x:c r="B7" s="77" t="str">
        <x:v>High</x:v>
      </x:c>
      <x:c r="C7" s="77" t="str">
        <x:v>Live credentials or Discord configuration unavailable</x:v>
      </x:c>
      <x:c r="D7" s="77" t="str">
        <x:v>Execute all independent tasks; document exact blocker; do not invent evidence</x:v>
      </x:c>
      <x:c r="E7" s="77" t="str">
        <x:v>S2</x:v>
      </x:c>
      <x:c r="F7" s="77" t="str">
        <x:v>Open</x:v>
      </x:c>
    </x:row>
    <x:row r="8">
      <x:c r="A8" s="77" t="str">
        <x:v>R-07</x:v>
      </x:c>
      <x:c r="B8" s="77" t="str">
        <x:v>Medium</x:v>
      </x:c>
      <x:c r="C8" s="77" t="str">
        <x:v>Demo exceeds three minutes</x:v>
      </x:c>
      <x:c r="D8" s="77" t="str">
        <x:v>Freeze golden path, rehearse three times, remove explanatory detours</x:v>
      </x:c>
      <x:c r="E8" s="77" t="str">
        <x:v>S5</x:v>
      </x:c>
      <x:c r="F8" s="77" t="str">
        <x:v>Open</x:v>
      </x:c>
    </x:row>
    <x:row r="9">
      <x:c r="A9" s="77" t="str">
        <x:v>R-08</x:v>
      </x:c>
      <x:c r="B9" s="77" t="str">
        <x:v>Medium</x:v>
      </x:c>
      <x:c r="C9" s="77" t="str">
        <x:v>Public package leaks private paths, secrets, or unpublished IP</x:v>
      </x:c>
      <x:c r="D9" s="77" t="str">
        <x:v>Run Medusa disclosure scrub before screenshots/video/export</x:v>
      </x:c>
      <x:c r="E9" s="77" t="str">
        <x:v>S4</x:v>
      </x:c>
      <x:c r="F9" s="77" t="str">
        <x:v>Open</x:v>
      </x:c>
    </x:row>
    <x:row r="10">
      <x:c r="A10" s="77" t="str">
        <x:v>R-09</x:v>
      </x:c>
      <x:c r="B10" s="77" t="str">
        <x:v>Medium</x:v>
      </x:c>
      <x:c r="C10" s="77" t="str">
        <x:v>Submission rules differ from assumed checklist</x:v>
      </x:c>
      <x:c r="D10" s="77" t="str">
        <x:v>Verify current rules before final asset formats and upload</x:v>
      </x:c>
      <x:c r="E10" s="77" t="str">
        <x:v>S5</x:v>
      </x:c>
      <x:c r="F10" s="77" t="str">
        <x:v>Open</x:v>
      </x:c>
    </x:row>
    <x:row r="11">
      <x:c r="A11" s="77" t="str">
        <x:v>R-10</x:v>
      </x:c>
      <x:c r="B11" s="77" t="str">
        <x:v>Medium</x:v>
      </x:c>
      <x:c r="C11" s="77" t="str">
        <x:v>Fatigue causes branching and rework</x:v>
      </x:c>
      <x:c r="D11" s="77" t="str">
        <x:v>Use 50/10 work cycles, one active sprint, and a seven-hour sleep block</x:v>
      </x:c>
      <x:c r="E11" s="77" t="str">
        <x:v>All</x:v>
      </x:c>
      <x:c r="F11" s="77" t="str">
        <x:v>Open</x:v>
      </x:c>
    </x:row>
  </x:sheetData>
  <x:conditionalFormatting sqref="B2:B11">
    <x:cfRule type="expression" dxfId="7" priority="1">
      <x:formula>B2="Critical"</x:formula>
    </x:cfRule>
    <x:cfRule type="expression" dxfId="8" priority="2">
      <x:formula>B2="High"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4f89ca269d44d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34" hidden="0" customWidth="1"/>
    <x:col min="4" max="4" width="35" hidden="0" customWidth="1"/>
    <x:col min="5" max="5" width="34" hidden="0" customWidth="1"/>
    <x:col min="6" max="6" width="32" hidden="0" customWidth="1"/>
  </x:cols>
  <x:sheetData>
    <x:row r="1">
      <x:c r="A1" s="102" t="str">
        <x:v>PROMETHEUS Planning Units</x:v>
      </x:c>
      <x:c r="B1" s="102"/>
      <x:c r="C1" s="102"/>
      <x:c r="D1" s="102"/>
      <x:c r="E1" s="102"/>
      <x:c r="F1" s="102"/>
    </x:row>
    <x:row r="2">
      <x:c r="A2" s="75"/>
      <x:c r="B2" s="75"/>
      <x:c r="C2" s="75"/>
      <x:c r="D2" s="75"/>
      <x:c r="E2" s="75"/>
      <x:c r="F2" s="75"/>
    </x:row>
    <x:row r="3">
      <x:c r="A3" s="76" t="str">
        <x:v>Unit</x:v>
      </x:c>
      <x:c r="B3" s="76" t="str">
        <x:v>Definition</x:v>
      </x:c>
      <x:c r="C3" s="76" t="str">
        <x:v>Use</x:v>
      </x:c>
      <x:c r="D3" s="76" t="str">
        <x:v>Planning Calibration</x:v>
      </x:c>
      <x:c r="E3" s="76" t="str">
        <x:v>Do Not Use For</x:v>
      </x:c>
      <x:c r="F3" s="76" t="str">
        <x:v>Current Campaign</x:v>
      </x:c>
    </x:row>
    <x:row r="4">
      <x:c r="A4" s="77" t="str">
        <x:v>Man-hour</x:v>
      </x:c>
      <x:c r="B4" s="77" t="str">
        <x:v>One hour of focused skilled operator or engineering labor.</x:v>
      </x:c>
      <x:c r="C4" s="77" t="str">
        <x:v>Schedule, staffing, deadline feasibility.</x:v>
      </x:c>
      <x:c r="D4" s="77" t="str">
        <x:v>50 minutes work + 10 minutes reset is one clock hour.</x:v>
      </x:c>
      <x:c r="E4" s="77" t="str">
        <x:v>Complexity or architectural significance.</x:v>
      </x:c>
      <x:c r="F4" s="77" t="str">
        <x:v>17–23 critical-path hours; 25.6 full closure-map hours</x:v>
      </x:c>
    </x:row>
    <x:row r="5">
      <x:c r="A5" s="77" t="str">
        <x:v>TAU</x:v>
      </x:c>
      <x:c r="B5" s="77" t="str">
        <x:v>Thoth Activity Unit: synthetic weighted load for complexity, integration, uncertainty, and proof burden.</x:v>
      </x:c>
      <x:c r="C5" s="77" t="str">
        <x:v>Compare cognitive and systems load across tasks and sprints.</x:v>
      </x:c>
      <x:c r="D5" s="77" t="str">
        <x:v>~10 simple; 20–35 standard; 40–60 complex; 70+ risky integration.</x:v>
      </x:c>
      <x:c r="E5" s="77" t="str">
        <x:v>Elapsed time or verified telemetry.</x:v>
      </x:c>
      <x:c r="F5" s="77" t="str">
        <x:v>Approximately 1,598 TAU remaining</x:v>
      </x:c>
    </x:row>
    <x:row r="6">
      <x:c r="A6" s="77" t="str">
        <x:v>Proof Packet</x:v>
      </x:c>
      <x:c r="B6" s="77" t="str">
        <x:v>One atomic task that ends with acceptance criteria and an attributable artifact, command log, receipt, hash, screenshot, or human verification.</x:v>
      </x:c>
      <x:c r="C6" s="77" t="str">
        <x:v>Countable completion and anti-sprawl control.</x:v>
      </x:c>
      <x:c r="D6" s="77" t="str">
        <x:v>Most tasks produce 1–4 packets.</x:v>
      </x:c>
      <x:c r="E6" s="77" t="str">
        <x:v>Hours spent without proof.</x:v>
      </x:c>
      <x:c r="F6" s="77" t="str">
        <x:v>106 proof packets in the current registry</x:v>
      </x:c>
    </x:row>
    <x:row r="7">
      <x:c r="A7" s="77" t="str">
        <x:v>Sprint</x:v>
      </x:c>
      <x:c r="B7" s="77" t="str">
        <x:v>A bounded group of tasks with one entry gate and one exit proof state.</x:v>
      </x:c>
      <x:c r="C7" s="77" t="str">
        <x:v>Execution sequencing.</x:v>
      </x:c>
      <x:c r="D7" s="77" t="str">
        <x:v>2–4.5 focused hours.</x:v>
      </x:c>
      <x:c r="E7" s="77" t="str">
        <x:v>A vague theme with no finish gate.</x:v>
      </x:c>
      <x:c r="F7" s="77" t="str">
        <x:v>Six active sprints plus submission buffer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111" t="str">
        <x:v>PROMETHEUS WORKFORCE SPINE | ADAPTIVE EDGE CONTROL</x:v>
      </x:c>
      <x:c r="B1" s="111"/>
      <x:c r="C1" s="111"/>
      <x:c r="D1" s="111"/>
      <x:c r="E1" s="111"/>
      <x:c r="F1" s="111"/>
      <x:c r="G1" s="111"/>
      <x:c r="H1" s="111"/>
      <x:c r="I1" s="111"/>
      <x:c r="J1" s="111"/>
    </x:row>
    <x:row r="3" ht="24" customHeight="1">
      <x:c r="A3" s="113" t="str">
        <x:v>Packet ID</x:v>
      </x:c>
      <x:c r="B3" s="116" t="str">
        <x:v>WSP-PROMETHEUS-20260719-EDGE-001</x:v>
      </x:c>
      <x:c r="D3" s="122" t="str">
        <x:v>Total Tasks</x:v>
      </x:c>
      <x:c r="E3" s="122" t="str">
        <x:v>Remaining Hours</x:v>
      </x:c>
      <x:c r="F3" s="122" t="str">
        <x:v>Remaining TAU</x:v>
      </x:c>
      <x:c r="G3" s="122" t="str">
        <x:v>Proof Packets</x:v>
      </x:c>
      <x:c r="H3" s="122" t="str">
        <x:v>Blocked</x:v>
      </x:c>
      <x:c r="I3" s="122" t="str">
        <x:v>Local Verified</x:v>
      </x:c>
      <x:c r="J3" s="122" t="str">
        <x:v>P0 Open</x:v>
      </x:c>
    </x:row>
    <x:row r="4" ht="32" customHeight="1">
      <x:c r="A4" s="113" t="str">
        <x:v>META-FATE</x:v>
      </x:c>
      <x:c r="B4" s="116" t="str">
        <x:v>MF-20260719-MF01-464</x:v>
      </x:c>
      <x:c r="D4" s="126" t="n">
        <x:f>COUNTA('Task Registry'!A2:A58)</x:f>
        <x:v>57</x:v>
      </x:c>
      <x:c r="E4" s="127" t="n">
        <x:f>SUM('Task Registry'!P2:P58)</x:f>
        <x:v>25.599999999999994</x:v>
      </x:c>
      <x:c r="F4" s="128" t="n">
        <x:f>SUM('Task Registry'!Q2:Q58)</x:f>
        <x:v>1598</x:v>
      </x:c>
      <x:c r="G4" s="128" t="n">
        <x:f>SUM('Task Registry'!K2:K58)</x:f>
        <x:v>106</x:v>
      </x:c>
      <x:c r="H4" s="128" t="n">
        <x:f>COUNTIF('Task Registry'!G2:G58,"Blocked External")+COUNTIF('Task Registry'!G2:G58,"Blocked Internal")</x:f>
        <x:v>3</x:v>
      </x:c>
      <x:c r="I4" s="128" t="n">
        <x:f>COUNTIF('Task Registry'!G2:G58,"Local Verified")</x:f>
        <x:v>5</x:v>
      </x:c>
      <x:c r="J4" s="128" t="n">
        <x:f>COUNTIFS('Task Registry'!F2:F58,"P0",'Task Registry'!G2:G58,"&lt;&gt;Local Verified",'Task Registry'!G2:G58,"&lt;&gt;Complete")</x:f>
        <x:v>26</x:v>
      </x:c>
    </x:row>
    <x:row r="5">
      <x:c r="A5" s="113" t="str">
        <x:v>State</x:v>
      </x:c>
      <x:c r="B5" s="116" t="str">
        <x:v>READY_FOR_EXECUTION</x:v>
      </x:c>
    </x:row>
    <x:row r="6" ht="24" customHeight="1">
      <x:c r="A6" s="113" t="str">
        <x:v>Build Truth</x:v>
      </x:c>
      <x:c r="B6" s="116" t="str">
        <x:v>PROMETHEUS_WORKFORCE_SPINE_PACKET_READY</x:v>
      </x:c>
      <x:c r="D6" s="134" t="str">
        <x:v>Surface</x:v>
      </x:c>
      <x:c r="E6" s="134" t="str">
        <x:v>Use For</x:v>
      </x:c>
      <x:c r="F6" s="134" t="str">
        <x:v>Default Output</x:v>
      </x:c>
      <x:c r="G6" s="134" t="str">
        <x:v>Mutation Boundary</x:v>
      </x:c>
      <x:c r="H6" s="134" t="str">
        <x:v>Unknown Work</x:v>
      </x:c>
      <x:c r="I6" s="134" t="str">
        <x:v>Current Campaign</x:v>
      </x:c>
      <x:c r="J6" s="134" t="str">
        <x:v>Launch Artifact</x:v>
      </x:c>
    </x:row>
    <x:row r="7">
      <x:c r="A7" s="113" t="str">
        <x:v>Source Workbook</x:v>
      </x:c>
      <x:c r="B7" s="116" t="str">
        <x:v>PROMETHEUS_Janus_Prime_Deadline_Warboard.xlsx</x:v>
      </x:c>
      <x:c r="D7" s="77" t="str">
        <x:v>WORK</x:v>
      </x:c>
      <x:c r="E7" s="77" t="str">
        <x:v>Research, apps, spreadsheets, docs, slides, reports, compliance</x:v>
      </x:c>
      <x:c r="F7" s="77" t="str">
        <x:v>Finished knowledge-work artifact</x:v>
      </x:c>
      <x:c r="G7" s="77" t="str">
        <x:v>A0-A2; stop before A3</x:v>
      </x:c>
      <x:c r="H7" s="77" t="str">
        <x:v>Runs Unknown Task Protocol</x:v>
      </x:c>
      <x:c r="I7" s="77" t="str">
        <x:v>S4-S5 + cross-domain support</x:v>
      </x:c>
      <x:c r="J7" s="77" t="str">
        <x:v>CHATGPT_WORK_LAUNCH_PROMPT.md</x:v>
      </x:c>
    </x:row>
    <x:row r="8">
      <x:c r="A8" s="113" t="str">
        <x:v>Repository</x:v>
      </x:c>
      <x:c r="B8" s="116" t="str">
        <x:v>Atlas-Ascend/PROMETHEUS-AIS-V-1.1.1</x:v>
      </x:c>
      <x:c r="D8" s="77" t="str">
        <x:v>CODEX</x:v>
      </x:c>
      <x:c r="E8" s="77" t="str">
        <x:v>Repo, code, Git, terminal, build, tests, CI, local runtime</x:v>
      </x:c>
      <x:c r="F8" s="77" t="str">
        <x:v>Tested repository/runtime change</x:v>
      </x:c>
      <x:c r="G8" s="77" t="str">
        <x:v>A0-A2; stop before A3</x:v>
      </x:c>
      <x:c r="H8" s="77" t="str">
        <x:v>Creates X-task and temporary role</x:v>
      </x:c>
      <x:c r="I8" s="77" t="str">
        <x:v>S0-S4 technical path</x:v>
      </x:c>
      <x:c r="J8" s="77" t="str">
        <x:v>CODEX_EXECUTION_PROMPT.md</x:v>
      </x:c>
    </x:row>
    <x:row r="9">
      <x:c r="A9" s="113" t="str">
        <x:v>Target Branch</x:v>
      </x:c>
      <x:c r="B9" s="116" t="str">
        <x:v>codex/ignition-kernel or reconciled descendant</x:v>
      </x:c>
      <x:c r="D9" s="77" t="str">
        <x:v>HYBRID</x:v>
      </x:c>
      <x:c r="E9" s="77" t="str">
        <x:v>Tasks requiring both knowledge and technical execution</x:v>
      </x:c>
      <x:c r="F9" s="77" t="str">
        <x:v>Hashed handoff + both outputs</x:v>
      </x:c>
      <x:c r="G9" s="77" t="str">
        <x:v>Each side respects approval class</x:v>
      </x:c>
      <x:c r="H9" s="77" t="str">
        <x:v>Cross-surface route synthesis</x:v>
      </x:c>
      <x:c r="I9" s="77" t="str">
        <x:v>Live integrations, case study, release</x:v>
      </x:c>
      <x:c r="J9" s="77" t="str">
        <x:v>WORKFORCE_SPINE_MASTER_PROMPT.md</x:v>
      </x:c>
    </x:row>
    <x:row r="10">
      <x:c r="A10" s="113" t="str">
        <x:v>Mission</x:v>
      </x:c>
      <x:c r="B10" s="116" t="str">
        <x:v>Execute known deadline work and absorb unexpected tasks through dynamic routing and proof receipts.</x:v>
      </x:c>
      <x:c r="D10" s="77" t="str">
        <x:v>HUMAN</x:v>
      </x:c>
      <x:c r="E10" s="77" t="str">
        <x:v>Credentials, physical proof, irreversible publish/submit</x:v>
      </x:c>
      <x:c r="F10" s="77" t="str">
        <x:v>Approval or external confirmation</x:v>
      </x:c>
      <x:c r="G10" s="77" t="str">
        <x:v>A3</x:v>
      </x:c>
      <x:c r="H10" s="77" t="str">
        <x:v>Approves or performs irreducible action</x:v>
      </x:c>
      <x:c r="I10" s="77" t="str">
        <x:v>Credentials, demo recording, submission</x:v>
      </x:c>
      <x:c r="J10" s="77" t="str">
        <x:v>Approval gate in packet JSON</x:v>
      </x:c>
    </x:row>
    <x:row r="11">
      <x:c r="A11" s="113" t="str">
        <x:v>Execution Surfaces</x:v>
      </x:c>
      <x:c r="B11" s="116" t="str">
        <x:v>ChatGPT Work + Codex + Human approval gates</x:v>
      </x:c>
    </x:row>
    <x:row r="12">
      <x:c r="A12" s="113" t="str">
        <x:v>Done Definition</x:v>
      </x:c>
      <x:c r="B12" s="116" t="str">
        <x:v>Acceptance passed + evidence + receipt + state update + bounded claim</x:v>
      </x:c>
    </x:row>
    <x:row r="14" ht="24" customHeight="1">
      <x:c r="A14" s="138" t="str">
        <x:v>Adaptive Execution Law</x:v>
      </x:c>
      <x:c r="B14" s="138"/>
      <x:c r="C14" s="138"/>
      <x:c r="D14" s="138"/>
      <x:c r="E14" s="138"/>
      <x:c r="F14" s="138"/>
      <x:c r="G14" s="138"/>
      <x:c r="H14" s="138"/>
      <x:c r="I14" s="138"/>
      <x:c r="J14" s="138"/>
    </x:row>
    <x:row r="15" ht="28" customHeight="1">
      <x:c r="A15" s="139" t="n">
        <x:v>1</x:v>
      </x:c>
      <x:c r="B15" s="116" t="str">
        <x:v>One active P0 dependency chain at a time; parallelize independent P1 work only when state and evidence remain isolated.</x:v>
      </x:c>
      <x:c r="C15" s="116"/>
      <x:c r="D15" s="116"/>
      <x:c r="E15" s="116"/>
      <x:c r="F15" s="116"/>
      <x:c r="G15" s="116"/>
      <x:c r="H15" s="116"/>
      <x:c r="I15" s="116"/>
      <x:c r="J15" s="116"/>
    </x:row>
    <x:row r="16" ht="28" customHeight="1">
      <x:c r="A16" s="139" t="n">
        <x:v>2</x:v>
      </x:c>
      <x:c r="B16" s="116" t="str">
        <x:v>No invented evidence, synthetic external confirmations, or 'basically done' states.</x:v>
      </x:c>
      <x:c r="C16" s="116"/>
      <x:c r="D16" s="116"/>
      <x:c r="E16" s="116"/>
      <x:c r="F16" s="116"/>
      <x:c r="G16" s="116"/>
      <x:c r="H16" s="116"/>
      <x:c r="I16" s="116"/>
      <x:c r="J16" s="116"/>
    </x:row>
    <x:row r="17" ht="28" customHeight="1">
      <x:c r="A17" s="139" t="n">
        <x:v>3</x:v>
      </x:c>
      <x:c r="B17" s="116" t="str">
        <x:v>Snapshot before mutation and use the least permission required.</x:v>
      </x:c>
      <x:c r="C17" s="116"/>
      <x:c r="D17" s="116"/>
      <x:c r="E17" s="116"/>
      <x:c r="F17" s="116"/>
      <x:c r="G17" s="116"/>
      <x:c r="H17" s="116"/>
      <x:c r="I17" s="116"/>
      <x:c r="J17" s="116"/>
    </x:row>
    <x:row r="18" ht="28" customHeight="1">
      <x:c r="A18" s="139" t="n">
        <x:v>4</x:v>
      </x:c>
      <x:c r="B18" s="116" t="str">
        <x:v>Continue all independent work when one task is blocked.</x:v>
      </x:c>
      <x:c r="C18" s="116"/>
      <x:c r="D18" s="116"/>
      <x:c r="E18" s="116"/>
      <x:c r="F18" s="116"/>
      <x:c r="G18" s="116"/>
      <x:c r="H18" s="116"/>
      <x:c r="I18" s="116"/>
      <x:c r="J18" s="116"/>
    </x:row>
    <x:row r="19" ht="28" customHeight="1">
      <x:c r="A19" s="139" t="n">
        <x:v>5</x:v>
      </x:c>
      <x:c r="B19" s="116" t="str">
        <x:v>After two failed attempts with the same strategy, change tool, role, or route.</x:v>
      </x:c>
      <x:c r="C19" s="116"/>
      <x:c r="D19" s="116"/>
      <x:c r="E19" s="116"/>
      <x:c r="F19" s="116"/>
      <x:c r="G19" s="116"/>
      <x:c r="H19" s="116"/>
      <x:c r="I19" s="116"/>
      <x:c r="J19" s="116"/>
    </x:row>
    <x:row r="20" ht="28" customHeight="1">
      <x:c r="A20" s="139" t="n">
        <x:v>6</x:v>
      </x:c>
      <x:c r="B20" s="116" t="str">
        <x:v>Unexpected work becomes an X-task with acceptance criteria, owner, approval class, and proof requirement.</x:v>
      </x:c>
      <x:c r="C20" s="116"/>
      <x:c r="D20" s="116"/>
      <x:c r="E20" s="116"/>
      <x:c r="F20" s="116"/>
      <x:c r="G20" s="116"/>
      <x:c r="H20" s="116"/>
      <x:c r="I20" s="116"/>
      <x:c r="J20" s="116"/>
    </x:row>
    <x:row r="21" ht="28" customHeight="1">
      <x:c r="A21" s="139" t="n">
        <x:v>7</x:v>
      </x:c>
      <x:c r="B21" s="116" t="str">
        <x:v>Every consequential action emits a ledger event and every completed task emits a receipt.</x:v>
      </x:c>
      <x:c r="C21" s="116"/>
      <x:c r="D21" s="116"/>
      <x:c r="E21" s="116"/>
      <x:c r="F21" s="116"/>
      <x:c r="G21" s="116"/>
      <x:c r="H21" s="116"/>
      <x:c r="I21" s="116"/>
      <x:c r="J21" s="116"/>
    </x:row>
    <x:row r="22" ht="28" customHeight="1">
      <x:c r="A22" s="139" t="n">
        <x:v>8</x:v>
      </x:c>
      <x:c r="B22" s="116" t="str">
        <x:v>Public outputs require Medusa disclosure review before release.</x:v>
      </x:c>
      <x:c r="C22" s="116"/>
      <x:c r="D22" s="116"/>
      <x:c r="E22" s="116"/>
      <x:c r="F22" s="116"/>
      <x:c r="G22" s="116"/>
      <x:c r="H22" s="116"/>
      <x:c r="I22" s="116"/>
      <x:c r="J22" s="116"/>
    </x:row>
  </x:sheetData>
  <x:mergeCells>
    <x:mergeCell ref="A1:J1"/>
    <x:mergeCell ref="A14:J14"/>
    <x:mergeCell ref="B15:J15"/>
    <x:mergeCell ref="B16:J16"/>
    <x:mergeCell ref="B17:J17"/>
    <x:mergeCell ref="B18:J18"/>
    <x:mergeCell ref="B19:J19"/>
    <x:mergeCell ref="B20:J20"/>
    <x:mergeCell ref="B21:J21"/>
    <x:mergeCell ref="B22:J22"/>
  </x:mergeCells>
  <x:conditionalFormatting sqref="D7:J10">
    <x:cfRule type="expression" dxfId="9" priority="1">
      <x:formula>D7="WORK"</x:formula>
    </x:cfRule>
    <x:cfRule type="expression" dxfId="10" priority="2">
      <x:formula>D7="CODEX"</x:formula>
    </x:cfRule>
    <x:cfRule type="expression" dxfId="11" priority="3">
      <x:formula>D7="HUMAN"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0" hidden="0" customWidth="1"/>
    <x:col min="4" max="4" width="44" hidden="0" customWidth="1"/>
    <x:col min="5" max="5" width="22" hidden="0" customWidth="1"/>
    <x:col min="6" max="6" width="9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20" hidden="0" customWidth="1"/>
    <x:col min="13" max="13" width="16" hidden="0" customWidth="1"/>
    <x:col min="14" max="14" width="28" hidden="0" customWidth="1"/>
    <x:col min="15" max="15" width="10" hidden="0" customWidth="1"/>
    <x:col min="16" max="16" width="15" hidden="0" customWidth="1"/>
    <x:col min="17" max="17" width="12" hidden="0" customWidth="1"/>
    <x:col min="18" max="18" width="42" hidden="0" customWidth="1"/>
    <x:col min="19" max="19" width="30" hidden="0" customWidth="1"/>
    <x:col min="20" max="20" width="32" hidden="0" customWidth="1"/>
  </x:cols>
  <x:sheetData>
    <x:row r="1" ht="24" customHeight="1">
      <x:c r="A1" s="138" t="str">
        <x:v>Task ID</x:v>
      </x:c>
      <x:c r="B1" s="138" t="str">
        <x:v>Sprint</x:v>
      </x:c>
      <x:c r="C1" s="138" t="str">
        <x:v>Workstream</x:v>
      </x:c>
      <x:c r="D1" s="138" t="str">
        <x:v>Task</x:v>
      </x:c>
      <x:c r="E1" s="138" t="str">
        <x:v>Owner Class</x:v>
      </x:c>
      <x:c r="F1" s="138" t="str">
        <x:v>Priority</x:v>
      </x:c>
      <x:c r="G1" s="138" t="str">
        <x:v>Status</x:v>
      </x:c>
      <x:c r="H1" s="138" t="str">
        <x:v>Dependencies</x:v>
      </x:c>
      <x:c r="I1" s="138" t="str">
        <x:v>Remaining Hours</x:v>
      </x:c>
      <x:c r="J1" s="138" t="str">
        <x:v>Remaining TAU</x:v>
      </x:c>
      <x:c r="K1" s="138" t="str">
        <x:v>Proof Packets</x:v>
      </x:c>
      <x:c r="L1" s="138" t="str">
        <x:v>Target Finish</x:v>
      </x:c>
      <x:c r="M1" s="138" t="str">
        <x:v>Execution Surface</x:v>
      </x:c>
      <x:c r="N1" s="138" t="str">
        <x:v>Primary Role</x:v>
      </x:c>
      <x:c r="O1" s="138" t="str">
        <x:v>Approval</x:v>
      </x:c>
      <x:c r="P1" s="138" t="str">
        <x:v>Proof Class</x:v>
      </x:c>
      <x:c r="Q1" s="138" t="str">
        <x:v>Parallel</x:v>
      </x:c>
      <x:c r="R1" s="138" t="str">
        <x:v>Acceptance / Proof</x:v>
      </x:c>
      <x:c r="S1" s="138" t="str">
        <x:v>Blocker</x:v>
      </x:c>
      <x:c r="T1" s="138" t="str">
        <x:v>Claim Unlocked</x:v>
      </x:c>
    </x:row>
    <x:row r="2">
      <x:c r="A2" s="141" t="str">
        <x:v>P-001</x:v>
      </x:c>
      <x:c r="B2" s="141" t="str">
        <x:v>S0</x:v>
      </x:c>
      <x:c r="C2" s="141" t="str">
        <x:v>Truth Convergence</x:v>
      </x:c>
      <x:c r="D2" s="141" t="str">
        <x:v>Confirm the canonical local checkout, current branch, working tree, and repo root</x:v>
      </x:c>
      <x:c r="E2" s="141" t="str">
        <x:v>LOCAL_WINDOWS</x:v>
      </x:c>
      <x:c r="F2" s="141" t="str">
        <x:v>P0</x:v>
      </x:c>
      <x:c r="G2" s="141" t="str">
        <x:v>Ready</x:v>
      </x:c>
      <x:c r="H2" s="141"/>
      <x:c r="I2" s="142" t="n">
        <x:v>0.25</x:v>
      </x:c>
      <x:c r="J2" s="143" t="n">
        <x:v>12</x:v>
      </x:c>
      <x:c r="K2" s="143" t="n">
        <x:v>1</x:v>
      </x:c>
      <x:c r="L2" s="144" t="n">
        <x:v>46222.427083333336</x:v>
      </x:c>
      <x:c r="M2" s="141" t="str">
        <x:v>CODEX</x:v>
      </x:c>
      <x:c r="N2" s="141" t="str">
        <x:v>Local Windows Operator</x:v>
      </x:c>
      <x:c r="O2" s="141" t="str">
        <x:v>A1</x:v>
      </x:c>
      <x:c r="P2" s="141" t="str">
        <x:v>E2+E3+E4</x:v>
      </x:c>
      <x:c r="Q2" s="141" t="str">
        <x:v>Yes</x:v>
      </x:c>
      <x:c r="R2" s="141" t="str">
        <x:v>Recorded repo path, branch, status, remotes, and HEAD in evidence/reconnaissance/</x:v>
      </x:c>
      <x:c r="S2" s="141" t="str">
        <x:v>Wrong checkout or uncommitted destructive changes</x:v>
      </x:c>
      <x:c r="T2" s="141" t="str">
        <x:v>Authoritative local baseline identified</x:v>
      </x:c>
    </x:row>
    <x:row r="3">
      <x:c r="A3" s="77" t="str">
        <x:v>P-002</x:v>
      </x:c>
      <x:c r="B3" s="77" t="str">
        <x:v>S0</x:v>
      </x:c>
      <x:c r="C3" s="77" t="str">
        <x:v>Truth Convergence</x:v>
      </x:c>
      <x:c r="D3" s="77" t="str">
        <x:v>Locate c691bf4 and 6d12685 in branches, tags, reflog, and unreachable Git objects</x:v>
      </x:c>
      <x:c r="E3" s="77" t="str">
        <x:v>LOCAL_WINDOWS</x:v>
      </x:c>
      <x:c r="F3" s="77" t="str">
        <x:v>P0</x:v>
      </x:c>
      <x:c r="G3" s="77" t="str">
        <x:v>Ready</x:v>
      </x:c>
      <x:c r="H3" s="77" t="str">
        <x:v>P-001</x:v>
      </x:c>
      <x:c r="I3" s="85" t="n">
        <x:v>0.5</x:v>
      </x:c>
      <x:c r="J3" s="140" t="n">
        <x:v>28</x:v>
      </x:c>
      <x:c r="K3" s="140" t="n">
        <x:v>2</x:v>
      </x:c>
      <x:c r="L3" s="99" t="n">
        <x:v>46222.447916666664</x:v>
      </x:c>
      <x:c r="M3" s="77" t="str">
        <x:v>CODEX</x:v>
      </x:c>
      <x:c r="N3" s="77" t="str">
        <x:v>Local Windows Operator</x:v>
      </x:c>
      <x:c r="O3" s="77" t="str">
        <x:v>A1</x:v>
      </x:c>
      <x:c r="P3" s="77" t="str">
        <x:v>E2+E3+E4</x:v>
      </x:c>
      <x:c r="Q3" s="77" t="str">
        <x:v>No</x:v>
      </x:c>
      <x:c r="R3" s="77" t="str">
        <x:v>Git object search log and explicit recovery verdict for both SHAs</x:v>
      </x:c>
      <x:c r="S3" s="77" t="str">
        <x:v>Objects absent and no equivalent lineage found</x:v>
      </x:c>
      <x:c r="T3" s="77" t="str">
        <x:v>Strongest implementation lineage identified</x:v>
      </x:c>
    </x:row>
    <x:row r="4">
      <x:c r="A4" s="141" t="str">
        <x:v>P-003</x:v>
      </x:c>
      <x:c r="B4" s="141" t="str">
        <x:v>S0</x:v>
      </x:c>
      <x:c r="C4" s="141" t="str">
        <x:v>Truth Convergence</x:v>
      </x:c>
      <x:c r="D4" s="141" t="str">
        <x:v>Protect the strongest reachable implementation with an archival branch and tag</x:v>
      </x:c>
      <x:c r="E4" s="141" t="str">
        <x:v>LOCAL_WINDOWS</x:v>
      </x:c>
      <x:c r="F4" s="141" t="str">
        <x:v>P0</x:v>
      </x:c>
      <x:c r="G4" s="141" t="str">
        <x:v>Ready</x:v>
      </x:c>
      <x:c r="H4" s="141" t="str">
        <x:v>P-002</x:v>
      </x:c>
      <x:c r="I4" s="142" t="n">
        <x:v>0.25</x:v>
      </x:c>
      <x:c r="J4" s="143" t="n">
        <x:v>15</x:v>
      </x:c>
      <x:c r="K4" s="143" t="n">
        <x:v>1</x:v>
      </x:c>
      <x:c r="L4" s="144" t="n">
        <x:v>46222.458333333336</x:v>
      </x:c>
      <x:c r="M4" s="141" t="str">
        <x:v>CODEX</x:v>
      </x:c>
      <x:c r="N4" s="141" t="str">
        <x:v>Local Windows Operator</x:v>
      </x:c>
      <x:c r="O4" s="141" t="str">
        <x:v>A1</x:v>
      </x:c>
      <x:c r="P4" s="141" t="str">
        <x:v>E2+E3+E4</x:v>
      </x:c>
      <x:c r="Q4" s="141" t="str">
        <x:v>No</x:v>
      </x:c>
      <x:c r="R4" s="141" t="str">
        <x:v>Archive branch/tag resolves to protected implementation commit</x:v>
      </x:c>
      <x:c r="S4" s="141" t="str">
        <x:v>No recoverable implementation object</x:v>
      </x:c>
      <x:c r="T4" s="141" t="str">
        <x:v>Implementation cannot be accidentally lost</x:v>
      </x:c>
    </x:row>
    <x:row r="5">
      <x:c r="A5" s="77" t="str">
        <x:v>P-004</x:v>
      </x:c>
      <x:c r="B5" s="77" t="str">
        <x:v>S0</x:v>
      </x:c>
      <x:c r="C5" s="77" t="str">
        <x:v>Truth Convergence</x:v>
      </x:c>
      <x:c r="D5" s="77" t="str">
        <x:v>Configure canonical GitHub remote and fetch main without altering local work</x:v>
      </x:c>
      <x:c r="E5" s="77" t="str">
        <x:v>GITHUB_CONFIGURATION</x:v>
      </x:c>
      <x:c r="F5" s="77" t="str">
        <x:v>P0</x:v>
      </x:c>
      <x:c r="G5" s="77" t="str">
        <x:v>Ready</x:v>
      </x:c>
      <x:c r="H5" s="77" t="str">
        <x:v>P-003</x:v>
      </x:c>
      <x:c r="I5" s="85" t="n">
        <x:v>0.25</x:v>
      </x:c>
      <x:c r="J5" s="140" t="n">
        <x:v>15</x:v>
      </x:c>
      <x:c r="K5" s="140" t="n">
        <x:v>1</x:v>
      </x:c>
      <x:c r="L5" s="99" t="n">
        <x:v>46222.46875</x:v>
      </x:c>
      <x:c r="M5" s="77" t="str">
        <x:v>CODEX+HUMAN</x:v>
      </x:c>
      <x:c r="N5" s="77" t="str">
        <x:v>Git Historian / Release Engineer</x:v>
      </x:c>
      <x:c r="O5" s="77" t="str">
        <x:v>A2</x:v>
      </x:c>
      <x:c r="P5" s="77" t="str">
        <x:v>E2+E4+E5</x:v>
      </x:c>
      <x:c r="Q5" s="77" t="str">
        <x:v>No</x:v>
      </x:c>
      <x:c r="R5" s="77" t="str">
        <x:v>origin URL recorded; fetch succeeds; remote refs visible</x:v>
      </x:c>
      <x:c r="S5" s="77" t="str">
        <x:v>Auth, network, or proxy failure</x:v>
      </x:c>
      <x:c r="T5" s="77" t="str">
        <x:v>Remote canon is available locally</x:v>
      </x:c>
    </x:row>
    <x:row r="6">
      <x:c r="A6" s="141" t="str">
        <x:v>P-005</x:v>
      </x:c>
      <x:c r="B6" s="141" t="str">
        <x:v>S0</x:v>
      </x:c>
      <x:c r="C6" s="141" t="str">
        <x:v>Truth Convergence</x:v>
      </x:c>
      <x:c r="D6" s="141" t="str">
        <x:v>Push the protected implementation to a recovery branch</x:v>
      </x:c>
      <x:c r="E6" s="141" t="str">
        <x:v>GITHUB_CONFIGURATION</x:v>
      </x:c>
      <x:c r="F6" s="141" t="str">
        <x:v>P0</x:v>
      </x:c>
      <x:c r="G6" s="141" t="str">
        <x:v>Ready</x:v>
      </x:c>
      <x:c r="H6" s="141" t="str">
        <x:v>P-004</x:v>
      </x:c>
      <x:c r="I6" s="142" t="n">
        <x:v>0.25</x:v>
      </x:c>
      <x:c r="J6" s="143" t="n">
        <x:v>18</x:v>
      </x:c>
      <x:c r="K6" s="143" t="n">
        <x:v>1</x:v>
      </x:c>
      <x:c r="L6" s="144" t="n">
        <x:v>46222.479166666664</x:v>
      </x:c>
      <x:c r="M6" s="141" t="str">
        <x:v>CODEX+HUMAN</x:v>
      </x:c>
      <x:c r="N6" s="141" t="str">
        <x:v>Git Historian / Release Engineer</x:v>
      </x:c>
      <x:c r="O6" s="141" t="str">
        <x:v>A2</x:v>
      </x:c>
      <x:c r="P6" s="141" t="str">
        <x:v>E2+E4+E5</x:v>
      </x:c>
      <x:c r="Q6" s="141" t="str">
        <x:v>No</x:v>
      </x:c>
      <x:c r="R6" s="141" t="str">
        <x:v>Recovery branch visible on GitHub and commit reachable</x:v>
      </x:c>
      <x:c r="S6" s="141" t="str">
        <x:v>Push permission or diverged history</x:v>
      </x:c>
      <x:c r="T6" s="141" t="str">
        <x:v>Strongest implementation becomes remotely recoverable</x:v>
      </x:c>
    </x:row>
    <x:row r="7">
      <x:c r="A7" s="77" t="str">
        <x:v>P-006</x:v>
      </x:c>
      <x:c r="B7" s="77" t="str">
        <x:v>S0</x:v>
      </x:c>
      <x:c r="C7" s="77" t="str">
        <x:v>Truth Convergence</x:v>
      </x:c>
      <x:c r="D7" s="77" t="str">
        <x:v>Compare remote canon against recovered implementation and reconcile non-destructively</x:v>
      </x:c>
      <x:c r="E7" s="77" t="str">
        <x:v>CODEX_REPOSITORY</x:v>
      </x:c>
      <x:c r="F7" s="77" t="str">
        <x:v>P0</x:v>
      </x:c>
      <x:c r="G7" s="77" t="str">
        <x:v>Ready</x:v>
      </x:c>
      <x:c r="H7" s="77" t="str">
        <x:v>P-005</x:v>
      </x:c>
      <x:c r="I7" s="85" t="n">
        <x:v>0.75</x:v>
      </x:c>
      <x:c r="J7" s="140" t="n">
        <x:v>55</x:v>
      </x:c>
      <x:c r="K7" s="140" t="n">
        <x:v>3</x:v>
      </x:c>
      <x:c r="L7" s="99" t="n">
        <x:v>46222.510416666664</x:v>
      </x:c>
      <x:c r="M7" s="77" t="str">
        <x:v>CODEX</x:v>
      </x:c>
      <x:c r="N7" s="77" t="str">
        <x:v>Codex Repository Engineer</x:v>
      </x:c>
      <x:c r="O7" s="77" t="str">
        <x:v>A1</x:v>
      </x:c>
      <x:c r="P7" s="77" t="str">
        <x:v>E2+E3+E4</x:v>
      </x:c>
      <x:c r="Q7" s="77" t="str">
        <x:v>No</x:v>
      </x:c>
      <x:c r="R7" s="77" t="str">
        <x:v>Complete diff reviewed; canon and implementation coexist under one history</x:v>
      </x:c>
      <x:c r="S7" s="77" t="str">
        <x:v>Conflicting canons or destructive merge</x:v>
      </x:c>
      <x:c r="T7" s="77" t="str">
        <x:v>One source of truth</x:v>
      </x:c>
    </x:row>
    <x:row r="8">
      <x:c r="A8" s="141" t="str">
        <x:v>P-007</x:v>
      </x:c>
      <x:c r="B8" s="141" t="str">
        <x:v>S0</x:v>
      </x:c>
      <x:c r="C8" s="141" t="str">
        <x:v>Truth Convergence</x:v>
      </x:c>
      <x:c r="D8" s="141" t="str">
        <x:v>Run regression suite after reconciliation</x:v>
      </x:c>
      <x:c r="E8" s="141" t="str">
        <x:v>LOCAL_WINDOWS</x:v>
      </x:c>
      <x:c r="F8" s="141" t="str">
        <x:v>P0</x:v>
      </x:c>
      <x:c r="G8" s="141" t="str">
        <x:v>Ready</x:v>
      </x:c>
      <x:c r="H8" s="141" t="str">
        <x:v>P-006</x:v>
      </x:c>
      <x:c r="I8" s="142" t="n">
        <x:v>0.5</x:v>
      </x:c>
      <x:c r="J8" s="143" t="n">
        <x:v>32</x:v>
      </x:c>
      <x:c r="K8" s="143" t="n">
        <x:v>2</x:v>
      </x:c>
      <x:c r="L8" s="144" t="n">
        <x:v>46222.53125</x:v>
      </x:c>
      <x:c r="M8" s="141" t="str">
        <x:v>CODEX</x:v>
      </x:c>
      <x:c r="N8" s="141" t="str">
        <x:v>Local Windows Operator</x:v>
      </x:c>
      <x:c r="O8" s="141" t="str">
        <x:v>A1</x:v>
      </x:c>
      <x:c r="P8" s="141" t="str">
        <x:v>E2+E3+E4</x:v>
      </x:c>
      <x:c r="Q8" s="141" t="str">
        <x:v>No</x:v>
      </x:c>
      <x:c r="R8" s="141" t="str">
        <x:v>All existing tests, doctor, demo, receipt verification, and compile checks pass</x:v>
      </x:c>
      <x:c r="S8" s="141" t="str">
        <x:v>Merge regression</x:v>
      </x:c>
      <x:c r="T8" s="141" t="str">
        <x:v>Reconciled build remains executable</x:v>
      </x:c>
    </x:row>
    <x:row r="9">
      <x:c r="A9" s="77" t="str">
        <x:v>P-008</x:v>
      </x:c>
      <x:c r="B9" s="77" t="str">
        <x:v>S0</x:v>
      </x:c>
      <x:c r="C9" s="77" t="str">
        <x:v>Truth Convergence</x:v>
      </x:c>
      <x:c r="D9" s="77" t="str">
        <x:v>Publish authoritative branch/PR and update README status from scaffold to evidence-backed state</x:v>
      </x:c>
      <x:c r="E9" s="77" t="str">
        <x:v>GITHUB_CONFIGURATION</x:v>
      </x:c>
      <x:c r="F9" s="77" t="str">
        <x:v>P0</x:v>
      </x:c>
      <x:c r="G9" s="77" t="str">
        <x:v>Ready</x:v>
      </x:c>
      <x:c r="H9" s="77" t="str">
        <x:v>P-007</x:v>
      </x:c>
      <x:c r="I9" s="85" t="n">
        <x:v>0.5</x:v>
      </x:c>
      <x:c r="J9" s="140" t="n">
        <x:v>30</x:v>
      </x:c>
      <x:c r="K9" s="140" t="n">
        <x:v>2</x:v>
      </x:c>
      <x:c r="L9" s="99" t="n">
        <x:v>46222.552083333336</x:v>
      </x:c>
      <x:c r="M9" s="77" t="str">
        <x:v>CODEX+HUMAN</x:v>
      </x:c>
      <x:c r="N9" s="77" t="str">
        <x:v>Git Historian / Release Engineer</x:v>
      </x:c>
      <x:c r="O9" s="77" t="str">
        <x:v>A2</x:v>
      </x:c>
      <x:c r="P9" s="77" t="str">
        <x:v>E2+E4+E5</x:v>
      </x:c>
      <x:c r="Q9" s="77" t="str">
        <x:v>No</x:v>
      </x:c>
      <x:c r="R9" s="77" t="str">
        <x:v>Remote branch, PR/merge, current commit, and README status all agree</x:v>
      </x:c>
      <x:c r="S9" s="77" t="str">
        <x:v>Unresolved merge or branch ambiguity</x:v>
      </x:c>
      <x:c r="T9" s="77" t="str">
        <x:v>Remote repository matches actual build truth</x:v>
      </x:c>
    </x:row>
    <x:row r="10">
      <x:c r="A10" s="141" t="str">
        <x:v>P-009</x:v>
      </x:c>
      <x:c r="B10" s="141" t="str">
        <x:v>S1</x:v>
      </x:c>
      <x:c r="C10" s="141" t="str">
        <x:v>Baseline Seal</x:v>
      </x:c>
      <x:c r="D10" s="141" t="str">
        <x:v>Create a fresh clean checkout of the reconciled authoritative commit</x:v>
      </x:c>
      <x:c r="E10" s="141" t="str">
        <x:v>LOCAL_WINDOWS</x:v>
      </x:c>
      <x:c r="F10" s="141" t="str">
        <x:v>P0</x:v>
      </x:c>
      <x:c r="G10" s="141" t="str">
        <x:v>Not Started</x:v>
      </x:c>
      <x:c r="H10" s="141" t="str">
        <x:v>P-008</x:v>
      </x:c>
      <x:c r="I10" s="142" t="n">
        <x:v>0.35</x:v>
      </x:c>
      <x:c r="J10" s="143" t="n">
        <x:v>18</x:v>
      </x:c>
      <x:c r="K10" s="143" t="n">
        <x:v>1</x:v>
      </x:c>
      <x:c r="L10" s="144" t="n">
        <x:v>46222.572916666664</x:v>
      </x:c>
      <x:c r="M10" s="141" t="str">
        <x:v>CODEX</x:v>
      </x:c>
      <x:c r="N10" s="141" t="str">
        <x:v>Local Windows Operator</x:v>
      </x:c>
      <x:c r="O10" s="141" t="str">
        <x:v>A1</x:v>
      </x:c>
      <x:c r="P10" s="141" t="str">
        <x:v>E2+E3+E4</x:v>
      </x:c>
      <x:c r="Q10" s="141" t="str">
        <x:v>No</x:v>
      </x:c>
      <x:c r="R10" s="141" t="str">
        <x:v>Fresh directory resolves to exact authoritative SHA</x:v>
      </x:c>
      <x:c r="S10" s="141" t="str">
        <x:v>Local residue or wrong branch</x:v>
      </x:c>
      <x:c r="T10" s="141" t="str">
        <x:v>Reproducible source checkout</x:v>
      </x:c>
    </x:row>
    <x:row r="11">
      <x:c r="A11" s="77" t="str">
        <x:v>P-010</x:v>
      </x:c>
      <x:c r="B11" s="77" t="str">
        <x:v>S1</x:v>
      </x:c>
      <x:c r="C11" s="77" t="str">
        <x:v>Baseline Seal</x:v>
      </x:c>
      <x:c r="D11" s="77" t="str">
        <x:v>Install or vendor the Python build tooling needed for package creation</x:v>
      </x:c>
      <x:c r="E11" s="77" t="str">
        <x:v>LOCAL_WINDOWS</x:v>
      </x:c>
      <x:c r="F11" s="77" t="str">
        <x:v>P1</x:v>
      </x:c>
      <x:c r="G11" s="77" t="str">
        <x:v>Not Started</x:v>
      </x:c>
      <x:c r="H11" s="77" t="str">
        <x:v>P-009</x:v>
      </x:c>
      <x:c r="I11" s="85" t="n">
        <x:v>0.35</x:v>
      </x:c>
      <x:c r="J11" s="140" t="n">
        <x:v>20</x:v>
      </x:c>
      <x:c r="K11" s="140" t="n">
        <x:v>1</x:v>
      </x:c>
      <x:c r="L11" s="99" t="n">
        <x:v>46222.59027777778</x:v>
      </x:c>
      <x:c r="M11" s="77" t="str">
        <x:v>CODEX</x:v>
      </x:c>
      <x:c r="N11" s="77" t="str">
        <x:v>Local Windows Operator</x:v>
      </x:c>
      <x:c r="O11" s="77" t="str">
        <x:v>A1</x:v>
      </x:c>
      <x:c r="P11" s="77" t="str">
        <x:v>E2+E3+E4</x:v>
      </x:c>
      <x:c r="Q11" s="77" t="str">
        <x:v>Yes</x:v>
      </x:c>
      <x:c r="R11" s="77" t="str">
        <x:v>python -m build is available in the clean environment</x:v>
      </x:c>
      <x:c r="S11" s="77" t="str">
        <x:v>Package index/network failure</x:v>
      </x:c>
      <x:c r="T11" s="77" t="str">
        <x:v>Standard package build is possible</x:v>
      </x:c>
    </x:row>
    <x:row r="12">
      <x:c r="A12" s="141" t="str">
        <x:v>P-011</x:v>
      </x:c>
      <x:c r="B12" s="141" t="str">
        <x:v>S1</x:v>
      </x:c>
      <x:c r="C12" s="141" t="str">
        <x:v>Baseline Seal</x:v>
      </x:c>
      <x:c r="D12" s="141" t="str">
        <x:v>Run complete test suite and compile checks in the clean checkout</x:v>
      </x:c>
      <x:c r="E12" s="141" t="str">
        <x:v>LOCAL_WINDOWS</x:v>
      </x:c>
      <x:c r="F12" s="141" t="str">
        <x:v>P0</x:v>
      </x:c>
      <x:c r="G12" s="141" t="str">
        <x:v>Not Started</x:v>
      </x:c>
      <x:c r="H12" s="141" t="str">
        <x:v>P-009</x:v>
      </x:c>
      <x:c r="I12" s="142" t="n">
        <x:v>0.5</x:v>
      </x:c>
      <x:c r="J12" s="143" t="n">
        <x:v>32</x:v>
      </x:c>
      <x:c r="K12" s="143" t="n">
        <x:v>2</x:v>
      </x:c>
      <x:c r="L12" s="144" t="n">
        <x:v>46222.61111111111</x:v>
      </x:c>
      <x:c r="M12" s="141" t="str">
        <x:v>CODEX</x:v>
      </x:c>
      <x:c r="N12" s="141" t="str">
        <x:v>Local Windows Operator</x:v>
      </x:c>
      <x:c r="O12" s="141" t="str">
        <x:v>A1</x:v>
      </x:c>
      <x:c r="P12" s="141" t="str">
        <x:v>E2+E3+E4</x:v>
      </x:c>
      <x:c r="Q12" s="141" t="str">
        <x:v>No</x:v>
      </x:c>
      <x:c r="R12" s="141" t="str">
        <x:v>Zero test failures; compileall succeeds; logs archived</x:v>
      </x:c>
      <x:c r="S12" s="141" t="str">
        <x:v>Test or environment failure</x:v>
      </x:c>
      <x:c r="T12" s="141" t="str">
        <x:v>Clean-checkout testability</x:v>
      </x:c>
    </x:row>
    <x:row r="13">
      <x:c r="A13" s="77" t="str">
        <x:v>P-012</x:v>
      </x:c>
      <x:c r="B13" s="77" t="str">
        <x:v>S1</x:v>
      </x:c>
      <x:c r="C13" s="77" t="str">
        <x:v>Baseline Seal</x:v>
      </x:c>
      <x:c r="D13" s="77" t="str">
        <x:v>Run prometheus doctor, deterministic demo, and receipt verification</x:v>
      </x:c>
      <x:c r="E13" s="77" t="str">
        <x:v>LOCAL_WINDOWS</x:v>
      </x:c>
      <x:c r="F13" s="77" t="str">
        <x:v>P0</x:v>
      </x:c>
      <x:c r="G13" s="77" t="str">
        <x:v>Not Started</x:v>
      </x:c>
      <x:c r="H13" s="77" t="str">
        <x:v>P-011</x:v>
      </x:c>
      <x:c r="I13" s="85" t="n">
        <x:v>0.5</x:v>
      </x:c>
      <x:c r="J13" s="140" t="n">
        <x:v>35</x:v>
      </x:c>
      <x:c r="K13" s="140" t="n">
        <x:v>2</x:v>
      </x:c>
      <x:c r="L13" s="99" t="n">
        <x:v>46222.631944444445</x:v>
      </x:c>
      <x:c r="M13" s="77" t="str">
        <x:v>CODEX</x:v>
      </x:c>
      <x:c r="N13" s="77" t="str">
        <x:v>Local Windows Operator</x:v>
      </x:c>
      <x:c r="O13" s="77" t="str">
        <x:v>A1</x:v>
      </x:c>
      <x:c r="P13" s="77" t="str">
        <x:v>E2+E3+E4</x:v>
      </x:c>
      <x:c r="Q13" s="77" t="str">
        <x:v>No</x:v>
      </x:c>
      <x:c r="R13" s="77" t="str">
        <x:v>Doctor healthy; demo completes; receipt hash verifies</x:v>
      </x:c>
      <x:c r="S13" s="77" t="str">
        <x:v>CLI mismatch or evidence failure</x:v>
      </x:c>
      <x:c r="T13" s="77" t="str">
        <x:v>Golden path is executable</x:v>
      </x:c>
    </x:row>
    <x:row r="14">
      <x:c r="A14" s="141" t="str">
        <x:v>P-013</x:v>
      </x:c>
      <x:c r="B14" s="141" t="str">
        <x:v>S1</x:v>
      </x:c>
      <x:c r="C14" s="141" t="str">
        <x:v>Baseline Seal</x:v>
      </x:c>
      <x:c r="D14" s="141" t="str">
        <x:v>Build wheel and source distribution with python -m build</x:v>
      </x:c>
      <x:c r="E14" s="141" t="str">
        <x:v>LOCAL_WINDOWS</x:v>
      </x:c>
      <x:c r="F14" s="141" t="str">
        <x:v>P1</x:v>
      </x:c>
      <x:c r="G14" s="141" t="str">
        <x:v>Not Started</x:v>
      </x:c>
      <x:c r="H14" s="141" t="str">
        <x:v>P-010,P-011</x:v>
      </x:c>
      <x:c r="I14" s="142" t="n">
        <x:v>0.35</x:v>
      </x:c>
      <x:c r="J14" s="143" t="n">
        <x:v>24</x:v>
      </x:c>
      <x:c r="K14" s="143" t="n">
        <x:v>1</x:v>
      </x:c>
      <x:c r="L14" s="144" t="n">
        <x:v>46222.649305555555</x:v>
      </x:c>
      <x:c r="M14" s="141" t="str">
        <x:v>CODEX</x:v>
      </x:c>
      <x:c r="N14" s="141" t="str">
        <x:v>Local Windows Operator</x:v>
      </x:c>
      <x:c r="O14" s="141" t="str">
        <x:v>A1</x:v>
      </x:c>
      <x:c r="P14" s="141" t="str">
        <x:v>E2+E3+E4</x:v>
      </x:c>
      <x:c r="Q14" s="141" t="str">
        <x:v>Yes</x:v>
      </x:c>
      <x:c r="R14" s="141" t="str">
        <x:v>Wheel and sdist exist with SHA-256 hashes</x:v>
      </x:c>
      <x:c r="S14" s="141" t="str">
        <x:v>Build configuration failure</x:v>
      </x:c>
      <x:c r="T14" s="141" t="str">
        <x:v>Installable release artifacts exist</x:v>
      </x:c>
    </x:row>
    <x:row r="15">
      <x:c r="A15" s="77" t="str">
        <x:v>P-014</x:v>
      </x:c>
      <x:c r="B15" s="77" t="str">
        <x:v>S1</x:v>
      </x:c>
      <x:c r="C15" s="77" t="str">
        <x:v>Baseline Seal</x:v>
      </x:c>
      <x:c r="D15" s="77" t="str">
        <x:v>Install the wheel into a clean virtual environment and run smoke checks</x:v>
      </x:c>
      <x:c r="E15" s="77" t="str">
        <x:v>LOCAL_WINDOWS</x:v>
      </x:c>
      <x:c r="F15" s="77" t="str">
        <x:v>P1</x:v>
      </x:c>
      <x:c r="G15" s="77" t="str">
        <x:v>Not Started</x:v>
      </x:c>
      <x:c r="H15" s="77" t="str">
        <x:v>P-013</x:v>
      </x:c>
      <x:c r="I15" s="85" t="n">
        <x:v>0.5</x:v>
      </x:c>
      <x:c r="J15" s="140" t="n">
        <x:v>36</x:v>
      </x:c>
      <x:c r="K15" s="140" t="n">
        <x:v>2</x:v>
      </x:c>
      <x:c r="L15" s="99" t="n">
        <x:v>46222.67013888889</x:v>
      </x:c>
      <x:c r="M15" s="77" t="str">
        <x:v>CODEX</x:v>
      </x:c>
      <x:c r="N15" s="77" t="str">
        <x:v>Local Windows Operator</x:v>
      </x:c>
      <x:c r="O15" s="77" t="str">
        <x:v>A1</x:v>
      </x:c>
      <x:c r="P15" s="77" t="str">
        <x:v>E2+E3+E4</x:v>
      </x:c>
      <x:c r="Q15" s="77" t="str">
        <x:v>Yes</x:v>
      </x:c>
      <x:c r="R15" s="77" t="str">
        <x:v>Installed CLI runs init, doctor, demo, receipt verify without source edits</x:v>
      </x:c>
      <x:c r="S15" s="77" t="str">
        <x:v>Missing dependency or path leakage</x:v>
      </x:c>
      <x:c r="T15" s="77" t="str">
        <x:v>Clean installation succeeds</x:v>
      </x:c>
    </x:row>
    <x:row r="16">
      <x:c r="A16" s="141" t="str">
        <x:v>P-015</x:v>
      </x:c>
      <x:c r="B16" s="141" t="str">
        <x:v>S1</x:v>
      </x:c>
      <x:c r="C16" s="141" t="str">
        <x:v>Baseline Seal</x:v>
      </x:c>
      <x:c r="D16" s="141" t="str">
        <x:v>Verify rollback, clean, and uninstall behavior</x:v>
      </x:c>
      <x:c r="E16" s="141" t="str">
        <x:v>LOCAL_WINDOWS</x:v>
      </x:c>
      <x:c r="F16" s="141" t="str">
        <x:v>P1</x:v>
      </x:c>
      <x:c r="G16" s="141" t="str">
        <x:v>Not Started</x:v>
      </x:c>
      <x:c r="H16" s="141" t="str">
        <x:v>P-014</x:v>
      </x:c>
      <x:c r="I16" s="142" t="n">
        <x:v>0.4</x:v>
      </x:c>
      <x:c r="J16" s="143" t="n">
        <x:v>25</x:v>
      </x:c>
      <x:c r="K16" s="143" t="n">
        <x:v>1</x:v>
      </x:c>
      <x:c r="L16" s="144" t="n">
        <x:v>46222.6875</x:v>
      </x:c>
      <x:c r="M16" s="141" t="str">
        <x:v>CODEX</x:v>
      </x:c>
      <x:c r="N16" s="141" t="str">
        <x:v>Local Windows Operator</x:v>
      </x:c>
      <x:c r="O16" s="141" t="str">
        <x:v>A1</x:v>
      </x:c>
      <x:c r="P16" s="141" t="str">
        <x:v>E2+E3+E4</x:v>
      </x:c>
      <x:c r="Q16" s="141" t="str">
        <x:v>Yes</x:v>
      </x:c>
      <x:c r="R16" s="141" t="str">
        <x:v>State cleanup and uninstall leave no false success or broken residue</x:v>
      </x:c>
      <x:c r="S16" s="141" t="str">
        <x:v>Destructive cleanup or retained state</x:v>
      </x:c>
      <x:c r="T16" s="141" t="str">
        <x:v>Rollback and uninstall are credible</x:v>
      </x:c>
    </x:row>
    <x:row r="17">
      <x:c r="A17" s="77" t="str">
        <x:v>P-016</x:v>
      </x:c>
      <x:c r="B17" s="77" t="str">
        <x:v>S1</x:v>
      </x:c>
      <x:c r="C17" s="77" t="str">
        <x:v>Baseline Seal</x:v>
      </x:c>
      <x:c r="D17" s="77" t="str">
        <x:v>Push reconciled commit and observe GitHub CI through completion</x:v>
      </x:c>
      <x:c r="E17" s="77" t="str">
        <x:v>GITHUB_CONFIGURATION</x:v>
      </x:c>
      <x:c r="F17" s="77" t="str">
        <x:v>P1</x:v>
      </x:c>
      <x:c r="G17" s="77" t="str">
        <x:v>Not Started</x:v>
      </x:c>
      <x:c r="H17" s="77" t="str">
        <x:v>P-008,P-011,P-013</x:v>
      </x:c>
      <x:c r="I17" s="85" t="n">
        <x:v>0.6</x:v>
      </x:c>
      <x:c r="J17" s="140" t="n">
        <x:v>38</x:v>
      </x:c>
      <x:c r="K17" s="140" t="n">
        <x:v>2</x:v>
      </x:c>
      <x:c r="L17" s="99" t="n">
        <x:v>46222.708333333336</x:v>
      </x:c>
      <x:c r="M17" s="77" t="str">
        <x:v>CODEX+HUMAN</x:v>
      </x:c>
      <x:c r="N17" s="77" t="str">
        <x:v>Git Historian / Release Engineer</x:v>
      </x:c>
      <x:c r="O17" s="77" t="str">
        <x:v>A2</x:v>
      </x:c>
      <x:c r="P17" s="77" t="str">
        <x:v>E2+E4+E5</x:v>
      </x:c>
      <x:c r="Q17" s="77" t="str">
        <x:v>Yes</x:v>
      </x:c>
      <x:c r="R17" s="77" t="str">
        <x:v>Remote CI passes lint/tests/package/install/schema/receipt checks</x:v>
      </x:c>
      <x:c r="S17" s="77" t="str">
        <x:v>Workflow or permissions failure</x:v>
      </x:c>
      <x:c r="T17" s="77" t="str">
        <x:v>Remote repository is independently green</x:v>
      </x:c>
    </x:row>
    <x:row r="18">
      <x:c r="A18" s="141" t="str">
        <x:v>P-017</x:v>
      </x:c>
      <x:c r="B18" s="141" t="str">
        <x:v>S2</x:v>
      </x:c>
      <x:c r="C18" s="141" t="str">
        <x:v>Live Integrations</x:v>
      </x:c>
      <x:c r="D18" s="141" t="str">
        <x:v>Configure OpenAI credentials without committing secrets</x:v>
      </x:c>
      <x:c r="E18" s="141" t="str">
        <x:v>OPENAI_CREDENTIAL</x:v>
      </x:c>
      <x:c r="F18" s="141" t="str">
        <x:v>P1</x:v>
      </x:c>
      <x:c r="G18" s="141" t="str">
        <x:v>Blocked External</x:v>
      </x:c>
      <x:c r="H18" s="141" t="str">
        <x:v>P-008</x:v>
      </x:c>
      <x:c r="I18" s="142" t="n">
        <x:v>0.2</x:v>
      </x:c>
      <x:c r="J18" s="143" t="n">
        <x:v>10</x:v>
      </x:c>
      <x:c r="K18" s="143" t="n">
        <x:v>1</x:v>
      </x:c>
      <x:c r="L18" s="144" t="n">
        <x:v>46222.71875</x:v>
      </x:c>
      <x:c r="M18" s="141" t="str">
        <x:v>HUMAN+CODEX</x:v>
      </x:c>
      <x:c r="N18" s="141" t="str">
        <x:v>Credential Steward</x:v>
      </x:c>
      <x:c r="O18" s="141" t="str">
        <x:v>A3</x:v>
      </x:c>
      <x:c r="P18" s="141" t="str">
        <x:v>E4+E5</x:v>
      </x:c>
      <x:c r="Q18" s="141" t="str">
        <x:v>Conditional</x:v>
      </x:c>
      <x:c r="R18" s="141" t="str">
        <x:v>Credential is available through environment and redaction test passes</x:v>
      </x:c>
      <x:c r="S18" s="141" t="str">
        <x:v>Credential unavailable</x:v>
      </x:c>
      <x:c r="T18" s="141" t="str">
        <x:v>Live model execution becomes possible</x:v>
      </x:c>
    </x:row>
    <x:row r="19">
      <x:c r="A19" s="77" t="str">
        <x:v>P-018</x:v>
      </x:c>
      <x:c r="B19" s="77" t="str">
        <x:v>S2</x:v>
      </x:c>
      <x:c r="C19" s="77" t="str">
        <x:v>Live Integrations</x:v>
      </x:c>
      <x:c r="D19" s="77" t="str">
        <x:v>Run one material GPT-5.6 route-generation and differentiation call</x:v>
      </x:c>
      <x:c r="E19" s="77" t="str">
        <x:v>LOCAL_WINDOWS</x:v>
      </x:c>
      <x:c r="F19" s="77" t="str">
        <x:v>P1</x:v>
      </x:c>
      <x:c r="G19" s="77" t="str">
        <x:v>Not Started</x:v>
      </x:c>
      <x:c r="H19" s="77" t="str">
        <x:v>P-017</x:v>
      </x:c>
      <x:c r="I19" s="85" t="n">
        <x:v>0.45</x:v>
      </x:c>
      <x:c r="J19" s="140" t="n">
        <x:v>30</x:v>
      </x:c>
      <x:c r="K19" s="140" t="n">
        <x:v>2</x:v>
      </x:c>
      <x:c r="L19" s="99" t="n">
        <x:v>46222.739583333336</x:v>
      </x:c>
      <x:c r="M19" s="77" t="str">
        <x:v>CODEX</x:v>
      </x:c>
      <x:c r="N19" s="77" t="str">
        <x:v>Local Windows Operator</x:v>
      </x:c>
      <x:c r="O19" s="77" t="str">
        <x:v>A1</x:v>
      </x:c>
      <x:c r="P19" s="77" t="str">
        <x:v>E2+E3+E4</x:v>
      </x:c>
      <x:c r="Q19" s="77" t="str">
        <x:v>Yes</x:v>
      </x:c>
      <x:c r="R19" s="77" t="str">
        <x:v>Prompt, response summary, model name, timestamp, cost metadata, and artifact hash recorded</x:v>
      </x:c>
      <x:c r="S19" s="77" t="str">
        <x:v>API/model failure</x:v>
      </x:c>
      <x:c r="T19" s="77" t="str">
        <x:v>Uses GPT-5.6 materially</x:v>
      </x:c>
    </x:row>
    <x:row r="20">
      <x:c r="A20" s="141" t="str">
        <x:v>P-019</x:v>
      </x:c>
      <x:c r="B20" s="141" t="str">
        <x:v>S2</x:v>
      </x:c>
      <x:c r="C20" s="141" t="str">
        <x:v>Live Integrations</x:v>
      </x:c>
      <x:c r="D20" s="141" t="str">
        <x:v>Run one material GPT-5.6 adversarial or test-proposal call and update contribution log</x:v>
      </x:c>
      <x:c r="E20" s="141" t="str">
        <x:v>LOCAL_WINDOWS</x:v>
      </x:c>
      <x:c r="F20" s="141" t="str">
        <x:v>P1</x:v>
      </x:c>
      <x:c r="G20" s="141" t="str">
        <x:v>Not Started</x:v>
      </x:c>
      <x:c r="H20" s="141" t="str">
        <x:v>P-018</x:v>
      </x:c>
      <x:c r="I20" s="142" t="n">
        <x:v>0.4</x:v>
      </x:c>
      <x:c r="J20" s="143" t="n">
        <x:v>28</x:v>
      </x:c>
      <x:c r="K20" s="143" t="n">
        <x:v>2</x:v>
      </x:c>
      <x:c r="L20" s="144" t="n">
        <x:v>46222.756944444445</x:v>
      </x:c>
      <x:c r="M20" s="141" t="str">
        <x:v>CODEX</x:v>
      </x:c>
      <x:c r="N20" s="141" t="str">
        <x:v>Local Windows Operator</x:v>
      </x:c>
      <x:c r="O20" s="141" t="str">
        <x:v>A1</x:v>
      </x:c>
      <x:c r="P20" s="141" t="str">
        <x:v>E2+E3+E4</x:v>
      </x:c>
      <x:c r="Q20" s="141" t="str">
        <x:v>Yes</x:v>
      </x:c>
      <x:c r="R20" s="141" t="str">
        <x:v>Model contribution changes an actual challenge/test and is linked to evidence</x:v>
      </x:c>
      <x:c r="S20" s="141" t="str">
        <x:v>Call produces no material contribution</x:v>
      </x:c>
      <x:c r="T20" s="141" t="str">
        <x:v>GPT-5.6 contribution is judge-verifiable</x:v>
      </x:c>
    </x:row>
    <x:row r="21">
      <x:c r="A21" s="77" t="str">
        <x:v>P-020</x:v>
      </x:c>
      <x:c r="B21" s="77" t="str">
        <x:v>S2</x:v>
      </x:c>
      <x:c r="C21" s="77" t="str">
        <x:v>Live Integrations</x:v>
      </x:c>
      <x:c r="D21" s="77" t="str">
        <x:v>Configure the ServerForge Discord webhook securely</x:v>
      </x:c>
      <x:c r="E21" s="77" t="str">
        <x:v>DISCORD_CONFIGURATION</x:v>
      </x:c>
      <x:c r="F21" s="77" t="str">
        <x:v>P1</x:v>
      </x:c>
      <x:c r="G21" s="77" t="str">
        <x:v>Blocked External</x:v>
      </x:c>
      <x:c r="H21" s="77" t="str">
        <x:v>P-008</x:v>
      </x:c>
      <x:c r="I21" s="85" t="n">
        <x:v>0.2</x:v>
      </x:c>
      <x:c r="J21" s="140" t="n">
        <x:v>10</x:v>
      </x:c>
      <x:c r="K21" s="140" t="n">
        <x:v>1</x:v>
      </x:c>
      <x:c r="L21" s="99" t="n">
        <x:v>46222.76736111111</x:v>
      </x:c>
      <x:c r="M21" s="77" t="str">
        <x:v>HUMAN+CODEX</x:v>
      </x:c>
      <x:c r="N21" s="77" t="str">
        <x:v>ServerForge Transport Steward</x:v>
      </x:c>
      <x:c r="O21" s="77" t="str">
        <x:v>A3</x:v>
      </x:c>
      <x:c r="P21" s="77" t="str">
        <x:v>E4+E5</x:v>
      </x:c>
      <x:c r="Q21" s="77" t="str">
        <x:v>Conditional</x:v>
      </x:c>
      <x:c r="R21" s="77" t="str">
        <x:v>Webhook stored outside repo; sanitizer and secret redaction verified</x:v>
      </x:c>
      <x:c r="S21" s="77" t="str">
        <x:v>Webhook unavailable or permission failure</x:v>
      </x:c>
      <x:c r="T21" s="77" t="str">
        <x:v>Live Discord delivery becomes possible</x:v>
      </x:c>
    </x:row>
    <x:row r="22">
      <x:c r="A22" s="141" t="str">
        <x:v>P-021</x:v>
      </x:c>
      <x:c r="B22" s="141" t="str">
        <x:v>S2</x:v>
      </x:c>
      <x:c r="C22" s="141" t="str">
        <x:v>Live Integrations</x:v>
      </x:c>
      <x:c r="D22" s="141" t="str">
        <x:v>Publish sanitized signature events to ServerForge</x:v>
      </x:c>
      <x:c r="E22" s="141" t="str">
        <x:v>LOCAL_WINDOWS</x:v>
      </x:c>
      <x:c r="F22" s="141" t="str">
        <x:v>P1</x:v>
      </x:c>
      <x:c r="G22" s="141" t="str">
        <x:v>Not Started</x:v>
      </x:c>
      <x:c r="H22" s="141" t="str">
        <x:v>P-020</x:v>
      </x:c>
      <x:c r="I22" s="142" t="n">
        <x:v>0.45</x:v>
      </x:c>
      <x:c r="J22" s="143" t="n">
        <x:v>28</x:v>
      </x:c>
      <x:c r="K22" s="143" t="n">
        <x:v>2</x:v>
      </x:c>
      <x:c r="L22" s="144" t="n">
        <x:v>46222.788194444445</x:v>
      </x:c>
      <x:c r="M22" s="141" t="str">
        <x:v>CODEX</x:v>
      </x:c>
      <x:c r="N22" s="141" t="str">
        <x:v>Local Windows Operator</x:v>
      </x:c>
      <x:c r="O22" s="141" t="str">
        <x:v>A1</x:v>
      </x:c>
      <x:c r="P22" s="141" t="str">
        <x:v>E2+E3+E4</x:v>
      </x:c>
      <x:c r="Q22" s="141" t="str">
        <x:v>Yes</x:v>
      </x:c>
      <x:c r="R22" s="141" t="str">
        <x:v>Discord receives mission, candidate, challenge, block, repair, receipt, and release events</x:v>
      </x:c>
      <x:c r="S22" s="141" t="str">
        <x:v>Discord HTTP or permission failure</x:v>
      </x:c>
      <x:c r="T22" s="141" t="str">
        <x:v>Discord integration works</x:v>
      </x:c>
    </x:row>
    <x:row r="23">
      <x:c r="A23" s="77" t="str">
        <x:v>P-022</x:v>
      </x:c>
      <x:c r="B23" s="77" t="str">
        <x:v>S2</x:v>
      </x:c>
      <x:c r="C23" s="77" t="str">
        <x:v>Live Integrations</x:v>
      </x:c>
      <x:c r="D23" s="77" t="str">
        <x:v>Correlate Discord messages with the local JSONL evidence ledger</x:v>
      </x:c>
      <x:c r="E23" s="77" t="str">
        <x:v>LOCAL_WINDOWS</x:v>
      </x:c>
      <x:c r="F23" s="77" t="str">
        <x:v>P1</x:v>
      </x:c>
      <x:c r="G23" s="77" t="str">
        <x:v>Not Started</x:v>
      </x:c>
      <x:c r="H23" s="77" t="str">
        <x:v>P-021</x:v>
      </x:c>
      <x:c r="I23" s="85" t="n">
        <x:v>0.3</x:v>
      </x:c>
      <x:c r="J23" s="140" t="n">
        <x:v>18</x:v>
      </x:c>
      <x:c r="K23" s="140" t="n">
        <x:v>1</x:v>
      </x:c>
      <x:c r="L23" s="99" t="n">
        <x:v>46222.802083333336</x:v>
      </x:c>
      <x:c r="M23" s="77" t="str">
        <x:v>CODEX</x:v>
      </x:c>
      <x:c r="N23" s="77" t="str">
        <x:v>Local Windows Operator</x:v>
      </x:c>
      <x:c r="O23" s="77" t="str">
        <x:v>A1</x:v>
      </x:c>
      <x:c r="P23" s="77" t="str">
        <x:v>E2+E3+E4</x:v>
      </x:c>
      <x:c r="Q23" s="77" t="str">
        <x:v>Yes</x:v>
      </x:c>
      <x:c r="R23" s="77" t="str">
        <x:v>Event IDs and hashes match between local ledger and sanitized delivery</x:v>
      </x:c>
      <x:c r="S23" s="77" t="str">
        <x:v>Dropped or mutated events</x:v>
      </x:c>
      <x:c r="T23" s="77" t="str">
        <x:v>ServerForge narrative is evidence-backed</x:v>
      </x:c>
    </x:row>
    <x:row r="24">
      <x:c r="A24" s="141" t="str">
        <x:v>P-023</x:v>
      </x:c>
      <x:c r="B24" s="141" t="str">
        <x:v>S2</x:v>
      </x:c>
      <x:c r="C24" s="141" t="str">
        <x:v>Runtime Continuity</x:v>
      </x:c>
      <x:c r="D24" s="141" t="str">
        <x:v>Run clean Windows install, doctor, demo, and receipt verification</x:v>
      </x:c>
      <x:c r="E24" s="141" t="str">
        <x:v>LOCAL_WINDOWS</x:v>
      </x:c>
      <x:c r="F24" s="141" t="str">
        <x:v>P1</x:v>
      </x:c>
      <x:c r="G24" s="141" t="str">
        <x:v>Not Started</x:v>
      </x:c>
      <x:c r="H24" s="141" t="str">
        <x:v>P-014</x:v>
      </x:c>
      <x:c r="I24" s="142" t="n">
        <x:v>0.6</x:v>
      </x:c>
      <x:c r="J24" s="143" t="n">
        <x:v>38</x:v>
      </x:c>
      <x:c r="K24" s="143" t="n">
        <x:v>2</x:v>
      </x:c>
      <x:c r="L24" s="144" t="n">
        <x:v>46222.82638888889</x:v>
      </x:c>
      <x:c r="M24" s="141" t="str">
        <x:v>CODEX</x:v>
      </x:c>
      <x:c r="N24" s="141" t="str">
        <x:v>Local Windows Operator</x:v>
      </x:c>
      <x:c r="O24" s="141" t="str">
        <x:v>A1</x:v>
      </x:c>
      <x:c r="P24" s="141" t="str">
        <x:v>E2+E3+E4</x:v>
      </x:c>
      <x:c r="Q24" s="141" t="str">
        <x:v>Yes</x:v>
      </x:c>
      <x:c r="R24" s="141" t="str">
        <x:v>Windows commands and screenshots/logs archived</x:v>
      </x:c>
      <x:c r="S24" s="141" t="str">
        <x:v>PowerShell, path, or package failure</x:v>
      </x:c>
      <x:c r="T24" s="141" t="str">
        <x:v>Works on Windows</x:v>
      </x:c>
    </x:row>
    <x:row r="25">
      <x:c r="A25" s="77" t="str">
        <x:v>P-024</x:v>
      </x:c>
      <x:c r="B25" s="77" t="str">
        <x:v>S2</x:v>
      </x:c>
      <x:c r="C25" s="77" t="str">
        <x:v>Runtime Continuity</x:v>
      </x:c>
      <x:c r="D25" s="77" t="str">
        <x:v>Run clean WSL or Ubuntu install, doctor, demo, and receipt verification</x:v>
      </x:c>
      <x:c r="E25" s="77" t="str">
        <x:v>LOCAL_WSL</x:v>
      </x:c>
      <x:c r="F25" s="77" t="str">
        <x:v>P1</x:v>
      </x:c>
      <x:c r="G25" s="77" t="str">
        <x:v>Not Started</x:v>
      </x:c>
      <x:c r="H25" s="77" t="str">
        <x:v>P-014</x:v>
      </x:c>
      <x:c r="I25" s="85" t="n">
        <x:v>0.6</x:v>
      </x:c>
      <x:c r="J25" s="140" t="n">
        <x:v>38</x:v>
      </x:c>
      <x:c r="K25" s="140" t="n">
        <x:v>2</x:v>
      </x:c>
      <x:c r="L25" s="99" t="n">
        <x:v>46222.850694444445</x:v>
      </x:c>
      <x:c r="M25" s="77" t="str">
        <x:v>CODEX</x:v>
      </x:c>
      <x:c r="N25" s="77" t="str">
        <x:v>WSL Runtime Operator</x:v>
      </x:c>
      <x:c r="O25" s="77" t="str">
        <x:v>A1</x:v>
      </x:c>
      <x:c r="P25" s="77" t="str">
        <x:v>E2+E3+E4</x:v>
      </x:c>
      <x:c r="Q25" s="77" t="str">
        <x:v>Yes</x:v>
      </x:c>
      <x:c r="R25" s="77" t="str">
        <x:v>WSL/Ubuntu commands and logs archived</x:v>
      </x:c>
      <x:c r="S25" s="77" t="str">
        <x:v>WSL unavailable or dependency mismatch</x:v>
      </x:c>
      <x:c r="T25" s="77" t="str">
        <x:v>Works on WSL/Ubuntu</x:v>
      </x:c>
    </x:row>
    <x:row r="26">
      <x:c r="A26" s="141" t="str">
        <x:v>P-025</x:v>
      </x:c>
      <x:c r="B26" s="141" t="str">
        <x:v>S2</x:v>
      </x:c>
      <x:c r="C26" s="141" t="str">
        <x:v>Runtime Continuity</x:v>
      </x:c>
      <x:c r="D26" s="141" t="str">
        <x:v>Demonstrate Windows-to-WSL/Ubuntu checkpoint failover with replay protection</x:v>
      </x:c>
      <x:c r="E26" s="141" t="str">
        <x:v>LOCAL_WINDOWS</x:v>
      </x:c>
      <x:c r="F26" s="141" t="str">
        <x:v>P1</x:v>
      </x:c>
      <x:c r="G26" s="141" t="str">
        <x:v>Not Started</x:v>
      </x:c>
      <x:c r="H26" s="141" t="str">
        <x:v>P-023,P-024</x:v>
      </x:c>
      <x:c r="I26" s="142" t="n">
        <x:v>1.1</x:v>
      </x:c>
      <x:c r="J26" s="143" t="n">
        <x:v>72</x:v>
      </x:c>
      <x:c r="K26" s="143" t="n">
        <x:v>4</x:v>
      </x:c>
      <x:c r="L26" s="144" t="n">
        <x:v>46222.895833333336</x:v>
      </x:c>
      <x:c r="M26" s="141" t="str">
        <x:v>CODEX</x:v>
      </x:c>
      <x:c r="N26" s="141" t="str">
        <x:v>Local Windows Operator</x:v>
      </x:c>
      <x:c r="O26" s="141" t="str">
        <x:v>A1</x:v>
      </x:c>
      <x:c r="P26" s="141" t="str">
        <x:v>E2+E3+E4</x:v>
      </x:c>
      <x:c r="Q26" s="141" t="str">
        <x:v>Yes</x:v>
      </x:c>
      <x:c r="R26" s="141" t="str">
        <x:v>Intentional Windows failure, durable checkpoint, resumed WSL command, lineage preservation, duplicate block, matching output hash</x:v>
      </x:c>
      <x:c r="S26" s="141" t="str">
        <x:v>Cross-runtime state or path incompatibility</x:v>
      </x:c>
      <x:c r="T26" s="141" t="str">
        <x:v>Survives runtime failure without mission loss</x:v>
      </x:c>
    </x:row>
    <x:row r="27">
      <x:c r="A27" s="77" t="str">
        <x:v>P-026</x:v>
      </x:c>
      <x:c r="B27" s="77" t="str">
        <x:v>S3</x:v>
      </x:c>
      <x:c r="C27" s="77" t="str">
        <x:v>Recursive Self-Build</x:v>
      </x:c>
      <x:c r="D27" s="77" t="str">
        <x:v>Select a bounded source-mutating improvement mission against PROMETHEUS itself</x:v>
      </x:c>
      <x:c r="E27" s="77" t="str">
        <x:v>HUMAN_REVIEW</x:v>
      </x:c>
      <x:c r="F27" s="77" t="str">
        <x:v>P1</x:v>
      </x:c>
      <x:c r="G27" s="77" t="str">
        <x:v>Ready</x:v>
      </x:c>
      <x:c r="H27" s="77" t="str">
        <x:v>P-008</x:v>
      </x:c>
      <x:c r="I27" s="85" t="n">
        <x:v>0.25</x:v>
      </x:c>
      <x:c r="J27" s="140" t="n">
        <x:v>16</x:v>
      </x:c>
      <x:c r="K27" s="140" t="n">
        <x:v>1</x:v>
      </x:c>
      <x:c r="L27" s="99" t="n">
        <x:v>46222.90625</x:v>
      </x:c>
      <x:c r="M27" s="77" t="str">
        <x:v>WORK+HUMAN</x:v>
      </x:c>
      <x:c r="N27" s="77" t="str">
        <x:v>Janus Prime Reviewer</x:v>
      </x:c>
      <x:c r="O27" s="77" t="str">
        <x:v>A2</x:v>
      </x:c>
      <x:c r="P27" s="77" t="str">
        <x:v>E1+E5</x:v>
      </x:c>
      <x:c r="Q27" s="77" t="str">
        <x:v>Yes</x:v>
      </x:c>
      <x:c r="R27" s="77" t="str">
        <x:v>Mission is small, safe, valuable, testable, and has rollback criteria</x:v>
      </x:c>
      <x:c r="S27" s="77" t="str">
        <x:v>Mission too broad or cosmetic</x:v>
      </x:c>
      <x:c r="T27" s="77" t="str">
        <x:v>Self-build mission is legitimate</x:v>
      </x:c>
    </x:row>
    <x:row r="28">
      <x:c r="A28" s="141" t="str">
        <x:v>P-027</x:v>
      </x:c>
      <x:c r="B28" s="141" t="str">
        <x:v>S3</x:v>
      </x:c>
      <x:c r="C28" s="141" t="str">
        <x:v>Recursive Self-Build</x:v>
      </x:c>
      <x:c r="D28" s="141" t="str">
        <x:v>Generate three materially different self-build routes and isolated worktrees</x:v>
      </x:c>
      <x:c r="E28" s="141" t="str">
        <x:v>CODEX_REPOSITORY</x:v>
      </x:c>
      <x:c r="F28" s="141" t="str">
        <x:v>P1</x:v>
      </x:c>
      <x:c r="G28" s="141" t="str">
        <x:v>Not Started</x:v>
      </x:c>
      <x:c r="H28" s="141" t="str">
        <x:v>P-026</x:v>
      </x:c>
      <x:c r="I28" s="142" t="n">
        <x:v>0.75</x:v>
      </x:c>
      <x:c r="J28" s="143" t="n">
        <x:v>55</x:v>
      </x:c>
      <x:c r="K28" s="143" t="n">
        <x:v>3</x:v>
      </x:c>
      <x:c r="L28" s="144" t="n">
        <x:v>46222.9375</x:v>
      </x:c>
      <x:c r="M28" s="141" t="str">
        <x:v>CODEX</x:v>
      </x:c>
      <x:c r="N28" s="141" t="str">
        <x:v>Codex Repository Engineer</x:v>
      </x:c>
      <x:c r="O28" s="141" t="str">
        <x:v>A1</x:v>
      </x:c>
      <x:c r="P28" s="141" t="str">
        <x:v>E2+E3+E4</x:v>
      </x:c>
      <x:c r="Q28" s="141" t="str">
        <x:v>Yes</x:v>
      </x:c>
      <x:c r="R28" s="141" t="str">
        <x:v>Novelty gate and three isolated candidates are recorded</x:v>
      </x:c>
      <x:c r="S28" s="141" t="str">
        <x:v>Routes are cosmetic or worktrees fail</x:v>
      </x:c>
      <x:c r="T28" s="141" t="str">
        <x:v>PROMETHEUS can evolve its own code</x:v>
      </x:c>
    </x:row>
    <x:row r="29">
      <x:c r="A29" s="77" t="str">
        <x:v>P-028</x:v>
      </x:c>
      <x:c r="B29" s="77" t="str">
        <x:v>S3</x:v>
      </x:c>
      <x:c r="C29" s="77" t="str">
        <x:v>Recursive Self-Build</x:v>
      </x:c>
      <x:c r="D29" s="77" t="str">
        <x:v>Execute candidates and produce at least one genuine evidence-backed rejection</x:v>
      </x:c>
      <x:c r="E29" s="77" t="str">
        <x:v>LOCAL_WINDOWS</x:v>
      </x:c>
      <x:c r="F29" s="77" t="str">
        <x:v>P1</x:v>
      </x:c>
      <x:c r="G29" s="77" t="str">
        <x:v>Not Started</x:v>
      </x:c>
      <x:c r="H29" s="77" t="str">
        <x:v>P-027</x:v>
      </x:c>
      <x:c r="I29" s="85" t="n">
        <x:v>0.75</x:v>
      </x:c>
      <x:c r="J29" s="140" t="n">
        <x:v>48</x:v>
      </x:c>
      <x:c r="K29" s="140" t="n">
        <x:v>3</x:v>
      </x:c>
      <x:c r="L29" s="99" t="n">
        <x:v>46222.96875</x:v>
      </x:c>
      <x:c r="M29" s="77" t="str">
        <x:v>CODEX</x:v>
      </x:c>
      <x:c r="N29" s="77" t="str">
        <x:v>Local Windows Operator</x:v>
      </x:c>
      <x:c r="O29" s="77" t="str">
        <x:v>A1</x:v>
      </x:c>
      <x:c r="P29" s="77" t="str">
        <x:v>E2+E3+E4</x:v>
      </x:c>
      <x:c r="Q29" s="77" t="str">
        <x:v>Yes</x:v>
      </x:c>
      <x:c r="R29" s="77" t="str">
        <x:v>Candidate failure arises from real test/security evidence, not a scripted label</x:v>
      </x:c>
      <x:c r="S29" s="77" t="str">
        <x:v>All routes identical or fake failure</x:v>
      </x:c>
      <x:c r="T29" s="77" t="str">
        <x:v>Self-selection pressure is real</x:v>
      </x:c>
    </x:row>
    <x:row r="30">
      <x:c r="A30" s="141" t="str">
        <x:v>P-029</x:v>
      </x:c>
      <x:c r="B30" s="141" t="str">
        <x:v>S3</x:v>
      </x:c>
      <x:c r="C30" s="141" t="str">
        <x:v>Recursive Self-Build</x:v>
      </x:c>
      <x:c r="D30" s="141" t="str">
        <x:v>Challenge the provisional winner and force a SECA promotion block</x:v>
      </x:c>
      <x:c r="E30" s="141" t="str">
        <x:v>LOCAL_WINDOWS</x:v>
      </x:c>
      <x:c r="F30" s="141" t="str">
        <x:v>P1</x:v>
      </x:c>
      <x:c r="G30" s="141" t="str">
        <x:v>Not Started</x:v>
      </x:c>
      <x:c r="H30" s="141" t="str">
        <x:v>P-028</x:v>
      </x:c>
      <x:c r="I30" s="142" t="n">
        <x:v>0.6</x:v>
      </x:c>
      <x:c r="J30" s="143" t="n">
        <x:v>42</x:v>
      </x:c>
      <x:c r="K30" s="143" t="n">
        <x:v>2</x:v>
      </x:c>
      <x:c r="L30" s="144" t="n">
        <x:v>46222.993055555555</x:v>
      </x:c>
      <x:c r="M30" s="141" t="str">
        <x:v>CODEX</x:v>
      </x:c>
      <x:c r="N30" s="141" t="str">
        <x:v>Local Windows Operator</x:v>
      </x:c>
      <x:c r="O30" s="141" t="str">
        <x:v>A1</x:v>
      </x:c>
      <x:c r="P30" s="141" t="str">
        <x:v>E2+E3+E4</x:v>
      </x:c>
      <x:c r="Q30" s="141" t="str">
        <x:v>Yes</x:v>
      </x:c>
      <x:c r="R30" s="141" t="str">
        <x:v>Independent challenge reproduces a defect and promotion state becomes blocked</x:v>
      </x:c>
      <x:c r="S30" s="141" t="str">
        <x:v>Challenger lacks independence or evidence</x:v>
      </x:c>
      <x:c r="T30" s="141" t="str">
        <x:v>Self-build survives adversarial opposition</x:v>
      </x:c>
    </x:row>
    <x:row r="31">
      <x:c r="A31" s="77" t="str">
        <x:v>P-030</x:v>
      </x:c>
      <x:c r="B31" s="77" t="str">
        <x:v>S3</x:v>
      </x:c>
      <x:c r="C31" s="77" t="str">
        <x:v>Recursive Self-Build</x:v>
      </x:c>
      <x:c r="D31" s="77" t="str">
        <x:v>Repair the blocked self-build candidate, retest, and promote</x:v>
      </x:c>
      <x:c r="E31" s="77" t="str">
        <x:v>CODEX_REPOSITORY</x:v>
      </x:c>
      <x:c r="F31" s="77" t="str">
        <x:v>P1</x:v>
      </x:c>
      <x:c r="G31" s="77" t="str">
        <x:v>Not Started</x:v>
      </x:c>
      <x:c r="H31" s="77" t="str">
        <x:v>P-029</x:v>
      </x:c>
      <x:c r="I31" s="85" t="n">
        <x:v>0.75</x:v>
      </x:c>
      <x:c r="J31" s="140" t="n">
        <x:v>50</x:v>
      </x:c>
      <x:c r="K31" s="140" t="n">
        <x:v>3</x:v>
      </x:c>
      <x:c r="L31" s="99" t="n">
        <x:v>46223.024305555555</x:v>
      </x:c>
      <x:c r="M31" s="77" t="str">
        <x:v>CODEX</x:v>
      </x:c>
      <x:c r="N31" s="77" t="str">
        <x:v>Codex Repository Engineer</x:v>
      </x:c>
      <x:c r="O31" s="77" t="str">
        <x:v>A1</x:v>
      </x:c>
      <x:c r="P31" s="77" t="str">
        <x:v>E2+E3+E4</x:v>
      </x:c>
      <x:c r="Q31" s="77" t="str">
        <x:v>Yes</x:v>
      </x:c>
      <x:c r="R31" s="77" t="str">
        <x:v>Diff, full retest, promotion decision, rollback state, and final commit archived</x:v>
      </x:c>
      <x:c r="S31" s="77" t="str">
        <x:v>Repair introduces regression</x:v>
      </x:c>
      <x:c r="T31" s="77" t="str">
        <x:v>PROMETHEUS improves itself with proof</x:v>
      </x:c>
    </x:row>
    <x:row r="32">
      <x:c r="A32" s="141" t="str">
        <x:v>P-031</x:v>
      </x:c>
      <x:c r="B32" s="141" t="str">
        <x:v>S3</x:v>
      </x:c>
      <x:c r="C32" s="141" t="str">
        <x:v>Recursive Self-Build</x:v>
      </x:c>
      <x:c r="D32" s="141" t="str">
        <x:v>Generate the recursive self-build receipt and lineage record</x:v>
      </x:c>
      <x:c r="E32" s="141" t="str">
        <x:v>LOCAL_WINDOWS</x:v>
      </x:c>
      <x:c r="F32" s="141" t="str">
        <x:v>P1</x:v>
      </x:c>
      <x:c r="G32" s="141" t="str">
        <x:v>Not Started</x:v>
      </x:c>
      <x:c r="H32" s="141" t="str">
        <x:v>P-030</x:v>
      </x:c>
      <x:c r="I32" s="142" t="n">
        <x:v>0.35</x:v>
      </x:c>
      <x:c r="J32" s="143" t="n">
        <x:v>24</x:v>
      </x:c>
      <x:c r="K32" s="143" t="n">
        <x:v>1</x:v>
      </x:c>
      <x:c r="L32" s="144" t="n">
        <x:v>46223.038194444445</x:v>
      </x:c>
      <x:c r="M32" s="141" t="str">
        <x:v>CODEX</x:v>
      </x:c>
      <x:c r="N32" s="141" t="str">
        <x:v>Local Windows Operator</x:v>
      </x:c>
      <x:c r="O32" s="141" t="str">
        <x:v>A1</x:v>
      </x:c>
      <x:c r="P32" s="141" t="str">
        <x:v>E2+E3+E4</x:v>
      </x:c>
      <x:c r="Q32" s="141" t="str">
        <x:v>Yes</x:v>
      </x:c>
      <x:c r="R32" s="141" t="str">
        <x:v>Receipt references mission, candidates, failure, block, repair, tests, commit, hashes, and genome</x:v>
      </x:c>
      <x:c r="S32" s="141" t="str">
        <x:v>Receipt omits causal evidence</x:v>
      </x:c>
      <x:c r="T32" s="141" t="str">
        <x:v>Recursive self-build is judge-verifiable</x:v>
      </x:c>
    </x:row>
    <x:row r="33">
      <x:c r="A33" s="77" t="str">
        <x:v>P-032</x:v>
      </x:c>
      <x:c r="B33" s="77" t="str">
        <x:v>S3</x:v>
      </x:c>
      <x:c r="C33" s="77" t="str">
        <x:v>Capability Genome</x:v>
      </x:c>
      <x:c r="D33" s="77" t="str">
        <x:v>Select a safe second repository or competition arena for positive genome reuse</x:v>
      </x:c>
      <x:c r="E33" s="77" t="str">
        <x:v>HUMAN_REVIEW</x:v>
      </x:c>
      <x:c r="F33" s="77" t="str">
        <x:v>P1</x:v>
      </x:c>
      <x:c r="G33" s="77" t="str">
        <x:v>Ready</x:v>
      </x:c>
      <x:c r="H33" s="77" t="str">
        <x:v>P-031</x:v>
      </x:c>
      <x:c r="I33" s="85" t="n">
        <x:v>0.2</x:v>
      </x:c>
      <x:c r="J33" s="140" t="n">
        <x:v>12</x:v>
      </x:c>
      <x:c r="K33" s="140" t="n">
        <x:v>1</x:v>
      </x:c>
      <x:c r="L33" s="99" t="n">
        <x:v>46223.04513888889</x:v>
      </x:c>
      <x:c r="M33" s="77" t="str">
        <x:v>WORK+HUMAN</x:v>
      </x:c>
      <x:c r="N33" s="77" t="str">
        <x:v>Janus Prime Reviewer</x:v>
      </x:c>
      <x:c r="O33" s="77" t="str">
        <x:v>A2</x:v>
      </x:c>
      <x:c r="P33" s="77" t="str">
        <x:v>E1+E5</x:v>
      </x:c>
      <x:c r="Q33" s="77" t="str">
        <x:v>Yes</x:v>
      </x:c>
      <x:c r="R33" s="77" t="str">
        <x:v>Target meets declared reuse conditions and contains no sensitive data</x:v>
      </x:c>
      <x:c r="S33" s="77" t="str">
        <x:v>No appropriate target</x:v>
      </x:c>
      <x:c r="T33" s="77" t="str">
        <x:v>Reuse demonstration has a valid substrate</x:v>
      </x:c>
    </x:row>
    <x:row r="34">
      <x:c r="A34" s="141" t="str">
        <x:v>P-033</x:v>
      </x:c>
      <x:c r="B34" s="141" t="str">
        <x:v>S3</x:v>
      </x:c>
      <x:c r="C34" s="141" t="str">
        <x:v>Capability Genome</x:v>
      </x:c>
      <x:c r="D34" s="141" t="str">
        <x:v>Match and reuse the genome on the second repository, then re-prove the result</x:v>
      </x:c>
      <x:c r="E34" s="141" t="str">
        <x:v>LOCAL_WINDOWS</x:v>
      </x:c>
      <x:c r="F34" s="141" t="str">
        <x:v>P1</x:v>
      </x:c>
      <x:c r="G34" s="141" t="str">
        <x:v>Not Started</x:v>
      </x:c>
      <x:c r="H34" s="141" t="str">
        <x:v>P-032</x:v>
      </x:c>
      <x:c r="I34" s="142" t="n">
        <x:v>0.85</x:v>
      </x:c>
      <x:c r="J34" s="143" t="n">
        <x:v>58</x:v>
      </x:c>
      <x:c r="K34" s="143" t="n">
        <x:v>3</x:v>
      </x:c>
      <x:c r="L34" s="144" t="n">
        <x:v>46223.07986111111</x:v>
      </x:c>
      <x:c r="M34" s="141" t="str">
        <x:v>CODEX</x:v>
      </x:c>
      <x:c r="N34" s="141" t="str">
        <x:v>Local Windows Operator</x:v>
      </x:c>
      <x:c r="O34" s="141" t="str">
        <x:v>A1</x:v>
      </x:c>
      <x:c r="P34" s="141" t="str">
        <x:v>E2+E3+E4</x:v>
      </x:c>
      <x:c r="Q34" s="141" t="str">
        <x:v>Yes</x:v>
      </x:c>
      <x:c r="R34" s="141" t="str">
        <x:v>Match report, applied motif, fresh tests, receipt hash, and outcome evidence exist</x:v>
      </x:c>
      <x:c r="S34" s="141" t="str">
        <x:v>Reuse conditions mismatch or test failure</x:v>
      </x:c>
      <x:c r="T34" s="141" t="str">
        <x:v>Capability inheritance works responsibly</x:v>
      </x:c>
    </x:row>
    <x:row r="35">
      <x:c r="A35" s="77" t="str">
        <x:v>P-034</x:v>
      </x:c>
      <x:c r="B35" s="77" t="str">
        <x:v>S3</x:v>
      </x:c>
      <x:c r="C35" s="77" t="str">
        <x:v>Capability Genome</x:v>
      </x:c>
      <x:c r="D35" s="77" t="str">
        <x:v>Attempt out-of-bounds reuse and prove exclusion denial</x:v>
      </x:c>
      <x:c r="E35" s="77" t="str">
        <x:v>LOCAL_WINDOWS</x:v>
      </x:c>
      <x:c r="F35" s="77" t="str">
        <x:v>P1</x:v>
      </x:c>
      <x:c r="G35" s="77" t="str">
        <x:v>Local Verified</x:v>
      </x:c>
      <x:c r="H35" s="77" t="str">
        <x:v>P-033</x:v>
      </x:c>
      <x:c r="I35" s="85" t="n">
        <x:v>0.05</x:v>
      </x:c>
      <x:c r="J35" s="140" t="n">
        <x:v>3</x:v>
      </x:c>
      <x:c r="K35" s="140" t="n">
        <x:v>1</x:v>
      </x:c>
      <x:c r="L35" s="99" t="n">
        <x:v>46223.086805555555</x:v>
      </x:c>
      <x:c r="M35" s="77" t="str">
        <x:v>CODEX</x:v>
      </x:c>
      <x:c r="N35" s="77" t="str">
        <x:v>Local Windows Operator</x:v>
      </x:c>
      <x:c r="O35" s="77" t="str">
        <x:v>A1</x:v>
      </x:c>
      <x:c r="P35" s="77" t="str">
        <x:v>E2+E3+E4</x:v>
      </x:c>
      <x:c r="Q35" s="77" t="str">
        <x:v>Yes</x:v>
      </x:c>
      <x:c r="R35" s="77" t="str">
        <x:v>Exclusion rule blocks invalid reuse with evidence</x:v>
      </x:c>
      <x:c r="S35" s="77" t="str">
        <x:v>Matcher permits unsafe reuse</x:v>
      </x:c>
      <x:c r="T35" s="77" t="str">
        <x:v>Genome boundaries are enforced</x:v>
      </x:c>
    </x:row>
    <x:row r="36">
      <x:c r="A36" s="141" t="str">
        <x:v>P-035</x:v>
      </x:c>
      <x:c r="B36" s="141" t="str">
        <x:v>S3</x:v>
      </x:c>
      <x:c r="C36" s="141" t="str">
        <x:v>Olympian Console</x:v>
      </x:c>
      <x:c r="D36" s="141" t="str">
        <x:v>Verify console state against the final receipt and event ledger</x:v>
      </x:c>
      <x:c r="E36" s="141" t="str">
        <x:v>LOCAL_WINDOWS</x:v>
      </x:c>
      <x:c r="F36" s="141" t="str">
        <x:v>P1</x:v>
      </x:c>
      <x:c r="G36" s="141" t="str">
        <x:v>Not Started</x:v>
      </x:c>
      <x:c r="H36" s="141" t="str">
        <x:v>P-031,P-033</x:v>
      </x:c>
      <x:c r="I36" s="142" t="n">
        <x:v>0.45</x:v>
      </x:c>
      <x:c r="J36" s="143" t="n">
        <x:v>28</x:v>
      </x:c>
      <x:c r="K36" s="143" t="n">
        <x:v>2</x:v>
      </x:c>
      <x:c r="L36" s="144" t="n">
        <x:v>46223.10763888889</x:v>
      </x:c>
      <x:c r="M36" s="141" t="str">
        <x:v>CODEX</x:v>
      </x:c>
      <x:c r="N36" s="141" t="str">
        <x:v>Local Windows Operator</x:v>
      </x:c>
      <x:c r="O36" s="141" t="str">
        <x:v>A1</x:v>
      </x:c>
      <x:c r="P36" s="141" t="str">
        <x:v>E2+E3+E4</x:v>
      </x:c>
      <x:c r="Q36" s="141" t="str">
        <x:v>Yes</x:v>
      </x:c>
      <x:c r="R36" s="141" t="str">
        <x:v>Mission, candidates, tests, runtime, block, repair, receipt, genome, and ServerForge state match backend evidence</x:v>
      </x:c>
      <x:c r="S36" s="141" t="str">
        <x:v>UI contradicts receipt or shows fabricated state</x:v>
      </x:c>
      <x:c r="T36" s="141" t="str">
        <x:v>Dashboard is truthful</x:v>
      </x:c>
    </x:row>
    <x:row r="37">
      <x:c r="A37" s="77" t="str">
        <x:v>P-036</x:v>
      </x:c>
      <x:c r="B37" s="77" t="str">
        <x:v>S4</x:v>
      </x:c>
      <x:c r="C37" s="77" t="str">
        <x:v>Reverse Verification</x:v>
      </x:c>
      <x:c r="D37" s="77" t="str">
        <x:v>Tamper with a copied artifact and prove receipt verification fails</x:v>
      </x:c>
      <x:c r="E37" s="77" t="str">
        <x:v>LOCAL_WINDOWS</x:v>
      </x:c>
      <x:c r="F37" s="77" t="str">
        <x:v>P0</x:v>
      </x:c>
      <x:c r="G37" s="77" t="str">
        <x:v>Local Verified</x:v>
      </x:c>
      <x:c r="H37" s="77" t="str">
        <x:v>P-012</x:v>
      </x:c>
      <x:c r="I37" s="85" t="n">
        <x:v>0.0375</x:v>
      </x:c>
      <x:c r="J37" s="140" t="n">
        <x:v>2.5</x:v>
      </x:c>
      <x:c r="K37" s="140" t="n">
        <x:v>1</x:v>
      </x:c>
      <x:c r="L37" s="99" t="n">
        <x:v>46223.28125</x:v>
      </x:c>
      <x:c r="M37" s="77" t="str">
        <x:v>CODEX</x:v>
      </x:c>
      <x:c r="N37" s="77" t="str">
        <x:v>Local Windows Operator</x:v>
      </x:c>
      <x:c r="O37" s="77" t="str">
        <x:v>A1</x:v>
      </x:c>
      <x:c r="P37" s="77" t="str">
        <x:v>E2+E3+E4</x:v>
      </x:c>
      <x:c r="Q37" s="77" t="str">
        <x:v>No</x:v>
      </x:c>
      <x:c r="R37" s="77" t="str">
        <x:v>Tampered artifact fails hash/receipt verification</x:v>
      </x:c>
      <x:c r="S37" s="77" t="str">
        <x:v>Verifier accepts altered artifact</x:v>
      </x:c>
      <x:c r="T37" s="77" t="str">
        <x:v>Receipt integrity is verified</x:v>
      </x:c>
    </x:row>
    <x:row r="38">
      <x:c r="A38" s="141" t="str">
        <x:v>P-037</x:v>
      </x:c>
      <x:c r="B38" s="141" t="str">
        <x:v>S4</x:v>
      </x:c>
      <x:c r="C38" s="141" t="str">
        <x:v>Reverse Verification</x:v>
      </x:c>
      <x:c r="D38" s="141" t="str">
        <x:v>Replay a consequential operation and prove duplicate execution is blocked</x:v>
      </x:c>
      <x:c r="E38" s="141" t="str">
        <x:v>LOCAL_WINDOWS</x:v>
      </x:c>
      <x:c r="F38" s="141" t="str">
        <x:v>P0</x:v>
      </x:c>
      <x:c r="G38" s="141" t="str">
        <x:v>Local Verified</x:v>
      </x:c>
      <x:c r="H38" s="141" t="str">
        <x:v>P-025</x:v>
      </x:c>
      <x:c r="I38" s="142" t="n">
        <x:v>0.0375</x:v>
      </x:c>
      <x:c r="J38" s="143" t="n">
        <x:v>2.5</x:v>
      </x:c>
      <x:c r="K38" s="143" t="n">
        <x:v>1</x:v>
      </x:c>
      <x:c r="L38" s="144" t="n">
        <x:v>46223.288194444445</x:v>
      </x:c>
      <x:c r="M38" s="141" t="str">
        <x:v>CODEX</x:v>
      </x:c>
      <x:c r="N38" s="141" t="str">
        <x:v>Local Windows Operator</x:v>
      </x:c>
      <x:c r="O38" s="141" t="str">
        <x:v>A1</x:v>
      </x:c>
      <x:c r="P38" s="141" t="str">
        <x:v>E2+E3+E4</x:v>
      </x:c>
      <x:c r="Q38" s="141" t="str">
        <x:v>No</x:v>
      </x:c>
      <x:c r="R38" s="141" t="str">
        <x:v>Replay guard records duplicate denial</x:v>
      </x:c>
      <x:c r="S38" s="141" t="str">
        <x:v>Duplicate operation executes</x:v>
      </x:c>
      <x:c r="T38" s="141" t="str">
        <x:v>Replay safety is verified</x:v>
      </x:c>
    </x:row>
    <x:row r="39">
      <x:c r="A39" s="77" t="str">
        <x:v>P-038</x:v>
      </x:c>
      <x:c r="B39" s="77" t="str">
        <x:v>S4</x:v>
      </x:c>
      <x:c r="C39" s="77" t="str">
        <x:v>Reverse Verification</x:v>
      </x:c>
      <x:c r="D39" s="77" t="str">
        <x:v>Remove a mandatory criterion and prove SECA blocks promotion</x:v>
      </x:c>
      <x:c r="E39" s="77" t="str">
        <x:v>LOCAL_WINDOWS</x:v>
      </x:c>
      <x:c r="F39" s="77" t="str">
        <x:v>P0</x:v>
      </x:c>
      <x:c r="G39" s="77" t="str">
        <x:v>Local Verified</x:v>
      </x:c>
      <x:c r="H39" s="77" t="str">
        <x:v>P-030</x:v>
      </x:c>
      <x:c r="I39" s="85" t="n">
        <x:v>0.0375</x:v>
      </x:c>
      <x:c r="J39" s="140" t="n">
        <x:v>2.5</x:v>
      </x:c>
      <x:c r="K39" s="140" t="n">
        <x:v>1</x:v>
      </x:c>
      <x:c r="L39" s="99" t="n">
        <x:v>46223.29513888889</x:v>
      </x:c>
      <x:c r="M39" s="77" t="str">
        <x:v>CODEX</x:v>
      </x:c>
      <x:c r="N39" s="77" t="str">
        <x:v>Local Windows Operator</x:v>
      </x:c>
      <x:c r="O39" s="77" t="str">
        <x:v>A1</x:v>
      </x:c>
      <x:c r="P39" s="77" t="str">
        <x:v>E2+E3+E4</x:v>
      </x:c>
      <x:c r="Q39" s="77" t="str">
        <x:v>No</x:v>
      </x:c>
      <x:c r="R39" s="77" t="str">
        <x:v>Promotion fails with missing-evidence explanation</x:v>
      </x:c>
      <x:c r="S39" s="77" t="str">
        <x:v>Promotion succeeds without criterion</x:v>
      </x:c>
      <x:c r="T39" s="77" t="str">
        <x:v>Promotion requires evidence</x:v>
      </x:c>
    </x:row>
    <x:row r="40">
      <x:c r="A40" s="141" t="str">
        <x:v>P-039</x:v>
      </x:c>
      <x:c r="B40" s="141" t="str">
        <x:v>S4</x:v>
      </x:c>
      <x:c r="C40" s="141" t="str">
        <x:v>Reverse Verification</x:v>
      </x:c>
      <x:c r="D40" s="141" t="str">
        <x:v>Inject an unsupported challenger claim and prove SECA rejects it</x:v>
      </x:c>
      <x:c r="E40" s="141" t="str">
        <x:v>LOCAL_WINDOWS</x:v>
      </x:c>
      <x:c r="F40" s="141" t="str">
        <x:v>P0</x:v>
      </x:c>
      <x:c r="G40" s="141" t="str">
        <x:v>Local Verified</x:v>
      </x:c>
      <x:c r="H40" s="141" t="str">
        <x:v>P-029</x:v>
      </x:c>
      <x:c r="I40" s="142" t="n">
        <x:v>0.0375</x:v>
      </x:c>
      <x:c r="J40" s="143" t="n">
        <x:v>2.5</x:v>
      </x:c>
      <x:c r="K40" s="143" t="n">
        <x:v>1</x:v>
      </x:c>
      <x:c r="L40" s="144" t="n">
        <x:v>46223.302083333336</x:v>
      </x:c>
      <x:c r="M40" s="141" t="str">
        <x:v>CODEX</x:v>
      </x:c>
      <x:c r="N40" s="141" t="str">
        <x:v>Local Windows Operator</x:v>
      </x:c>
      <x:c r="O40" s="141" t="str">
        <x:v>A1</x:v>
      </x:c>
      <x:c r="P40" s="141" t="str">
        <x:v>E2+E3+E4</x:v>
      </x:c>
      <x:c r="Q40" s="141" t="str">
        <x:v>No</x:v>
      </x:c>
      <x:c r="R40" s="141" t="str">
        <x:v>Unsupported finding is rejected and logged</x:v>
      </x:c>
      <x:c r="S40" s="141" t="str">
        <x:v>Unsupported claim blocks promotion</x:v>
      </x:c>
      <x:c r="T40" s="141" t="str">
        <x:v>Adversarial claims are evidence-bound</x:v>
      </x:c>
    </x:row>
    <x:row r="41">
      <x:c r="A41" s="77" t="str">
        <x:v>P-040</x:v>
      </x:c>
      <x:c r="B41" s="77" t="str">
        <x:v>S4</x:v>
      </x:c>
      <x:c r="C41" s="77" t="str">
        <x:v>Release Convergence</x:v>
      </x:c>
      <x:c r="D41" s="77" t="str">
        <x:v>Update build ledger, task status, acceptance matrix, and known limitations</x:v>
      </x:c>
      <x:c r="E41" s="77" t="str">
        <x:v>CODEX_REPOSITORY</x:v>
      </x:c>
      <x:c r="F41" s="77" t="str">
        <x:v>P0</x:v>
      </x:c>
      <x:c r="G41" s="77" t="str">
        <x:v>Not Started</x:v>
      </x:c>
      <x:c r="H41" s="77" t="str">
        <x:v>P-016,P-025,P-031,P-033,P-035</x:v>
      </x:c>
      <x:c r="I41" s="85" t="n">
        <x:v>0.6</x:v>
      </x:c>
      <x:c r="J41" s="140" t="n">
        <x:v>38</x:v>
      </x:c>
      <x:c r="K41" s="140" t="n">
        <x:v>2</x:v>
      </x:c>
      <x:c r="L41" s="99" t="n">
        <x:v>46223.32638888889</x:v>
      </x:c>
      <x:c r="M41" s="77" t="str">
        <x:v>CODEX</x:v>
      </x:c>
      <x:c r="N41" s="77" t="str">
        <x:v>Codex Repository Engineer</x:v>
      </x:c>
      <x:c r="O41" s="77" t="str">
        <x:v>A1</x:v>
      </x:c>
      <x:c r="P41" s="77" t="str">
        <x:v>E2+E3+E4</x:v>
      </x:c>
      <x:c r="Q41" s="77" t="str">
        <x:v>No</x:v>
      </x:c>
      <x:c r="R41" s="77" t="str">
        <x:v>Every P0/P1 gate has status, evidence path, blocker, and claim state</x:v>
      </x:c>
      <x:c r="S41" s="77" t="str">
        <x:v>Documentation diverges from evidence</x:v>
      </x:c>
      <x:c r="T41" s="77" t="str">
        <x:v>One canonical completion ledger</x:v>
      </x:c>
    </x:row>
    <x:row r="42">
      <x:c r="A42" s="141" t="str">
        <x:v>P-041</x:v>
      </x:c>
      <x:c r="B42" s="141" t="str">
        <x:v>S4</x:v>
      </x:c>
      <x:c r="C42" s="141" t="str">
        <x:v>Disclosure Review</x:v>
      </x:c>
      <x:c r="D42" s="141" t="str">
        <x:v>Run Medusa public/private disclosure and secret scrub</x:v>
      </x:c>
      <x:c r="E42" s="141" t="str">
        <x:v>HUMAN_REVIEW</x:v>
      </x:c>
      <x:c r="F42" s="141" t="str">
        <x:v>P0</x:v>
      </x:c>
      <x:c r="G42" s="141" t="str">
        <x:v>Not Started</x:v>
      </x:c>
      <x:c r="H42" s="141" t="str">
        <x:v>P-040</x:v>
      </x:c>
      <x:c r="I42" s="142" t="n">
        <x:v>0.55</x:v>
      </x:c>
      <x:c r="J42" s="143" t="n">
        <x:v>34</x:v>
      </x:c>
      <x:c r="K42" s="143" t="n">
        <x:v>2</x:v>
      </x:c>
      <x:c r="L42" s="144" t="n">
        <x:v>46223.34722222222</x:v>
      </x:c>
      <x:c r="M42" s="141" t="str">
        <x:v>WORK+HUMAN</x:v>
      </x:c>
      <x:c r="N42" s="141" t="str">
        <x:v>Janus Prime Reviewer</x:v>
      </x:c>
      <x:c r="O42" s="141" t="str">
        <x:v>A2</x:v>
      </x:c>
      <x:c r="P42" s="141" t="str">
        <x:v>E1+E5</x:v>
      </x:c>
      <x:c r="Q42" s="141" t="str">
        <x:v>No</x:v>
      </x:c>
      <x:c r="R42" s="141" t="str">
        <x:v>No secrets/private paths; public claims match evidence; IP-sensitive internals classified</x:v>
      </x:c>
      <x:c r="S42" s="141" t="str">
        <x:v>Leak or overclaim discovered late</x:v>
      </x:c>
      <x:c r="T42" s="141" t="str">
        <x:v>Public package is safe to show</x:v>
      </x:c>
    </x:row>
    <x:row r="43">
      <x:c r="A43" s="77" t="str">
        <x:v>P-042</x:v>
      </x:c>
      <x:c r="B43" s="77" t="str">
        <x:v>S4</x:v>
      </x:c>
      <x:c r="C43" s="77" t="str">
        <x:v>Release Convergence</x:v>
      </x:c>
      <x:c r="D43" s="77" t="str">
        <x:v>Generate final JSON/Markdown receipts, manifests, genomes, proof bundle, and release archive</x:v>
      </x:c>
      <x:c r="E43" s="77" t="str">
        <x:v>LOCAL_WINDOWS</x:v>
      </x:c>
      <x:c r="F43" s="77" t="str">
        <x:v>P0</x:v>
      </x:c>
      <x:c r="G43" s="77" t="str">
        <x:v>Not Started</x:v>
      </x:c>
      <x:c r="H43" s="77" t="str">
        <x:v>P-040,P-041</x:v>
      </x:c>
      <x:c r="I43" s="85" t="n">
        <x:v>0.65</x:v>
      </x:c>
      <x:c r="J43" s="140" t="n">
        <x:v>42</x:v>
      </x:c>
      <x:c r="K43" s="140" t="n">
        <x:v>3</x:v>
      </x:c>
      <x:c r="L43" s="99" t="n">
        <x:v>46223.37152777778</x:v>
      </x:c>
      <x:c r="M43" s="77" t="str">
        <x:v>CODEX</x:v>
      </x:c>
      <x:c r="N43" s="77" t="str">
        <x:v>Local Windows Operator</x:v>
      </x:c>
      <x:c r="O43" s="77" t="str">
        <x:v>A1</x:v>
      </x:c>
      <x:c r="P43" s="77" t="str">
        <x:v>E2+E3+E4</x:v>
      </x:c>
      <x:c r="Q43" s="77" t="str">
        <x:v>No</x:v>
      </x:c>
      <x:c r="R43" s="77" t="str">
        <x:v>All artifacts exist, verify, and carry final commit/timestamps/disclosure class</x:v>
      </x:c>
      <x:c r="S43" s="77" t="str">
        <x:v>Stale paths or mismatched hashes</x:v>
      </x:c>
      <x:c r="T43" s="77" t="str">
        <x:v>Final evidence bundle is coherent</x:v>
      </x:c>
    </x:row>
    <x:row r="44">
      <x:c r="A44" s="141" t="str">
        <x:v>P-043</x:v>
      </x:c>
      <x:c r="B44" s="141" t="str">
        <x:v>S4</x:v>
      </x:c>
      <x:c r="C44" s="141" t="str">
        <x:v>Release Convergence</x:v>
      </x:c>
      <x:c r="D44" s="141" t="str">
        <x:v>Update README, CHANGELOG, RELEASE_CHECKLIST, competition submission doc, and contribution logs</x:v>
      </x:c>
      <x:c r="E44" s="141" t="str">
        <x:v>CODEX_REPOSITORY</x:v>
      </x:c>
      <x:c r="F44" s="141" t="str">
        <x:v>P0</x:v>
      </x:c>
      <x:c r="G44" s="141" t="str">
        <x:v>Not Started</x:v>
      </x:c>
      <x:c r="H44" s="141" t="str">
        <x:v>P-042</x:v>
      </x:c>
      <x:c r="I44" s="142" t="n">
        <x:v>0.7</x:v>
      </x:c>
      <x:c r="J44" s="143" t="n">
        <x:v>45</x:v>
      </x:c>
      <x:c r="K44" s="143" t="n">
        <x:v>3</x:v>
      </x:c>
      <x:c r="L44" s="144" t="n">
        <x:v>46223.399305555555</x:v>
      </x:c>
      <x:c r="M44" s="141" t="str">
        <x:v>CODEX</x:v>
      </x:c>
      <x:c r="N44" s="141" t="str">
        <x:v>Codex Repository Engineer</x:v>
      </x:c>
      <x:c r="O44" s="141" t="str">
        <x:v>A1</x:v>
      </x:c>
      <x:c r="P44" s="141" t="str">
        <x:v>E2+E3+E4</x:v>
      </x:c>
      <x:c r="Q44" s="141" t="str">
        <x:v>No</x:v>
      </x:c>
      <x:c r="R44" s="141" t="str">
        <x:v>Docs reproduce real commands and cite exact evidence artifacts</x:v>
      </x:c>
      <x:c r="S44" s="141" t="str">
        <x:v>Stale command or prohibited claim</x:v>
      </x:c>
      <x:c r="T44" s="141" t="str">
        <x:v>Judge-facing documentation is truthful</x:v>
      </x:c>
    </x:row>
    <x:row r="45">
      <x:c r="A45" s="77" t="str">
        <x:v>P-044</x:v>
      </x:c>
      <x:c r="B45" s="77" t="str">
        <x:v>S4</x:v>
      </x:c>
      <x:c r="C45" s="77" t="str">
        <x:v>Release Convergence</x:v>
      </x:c>
      <x:c r="D45" s="77" t="str">
        <x:v>Create final release commit/tag and record exact SHA-256 values</x:v>
      </x:c>
      <x:c r="E45" s="77" t="str">
        <x:v>GITHUB_CONFIGURATION</x:v>
      </x:c>
      <x:c r="F45" s="77" t="str">
        <x:v>P0</x:v>
      </x:c>
      <x:c r="G45" s="77" t="str">
        <x:v>Not Started</x:v>
      </x:c>
      <x:c r="H45" s="77" t="str">
        <x:v>P-043</x:v>
      </x:c>
      <x:c r="I45" s="85" t="n">
        <x:v>0.4</x:v>
      </x:c>
      <x:c r="J45" s="140" t="n">
        <x:v>24</x:v>
      </x:c>
      <x:c r="K45" s="140" t="n">
        <x:v>2</x:v>
      </x:c>
      <x:c r="L45" s="99" t="n">
        <x:v>46223.413194444445</x:v>
      </x:c>
      <x:c r="M45" s="77" t="str">
        <x:v>CODEX+HUMAN</x:v>
      </x:c>
      <x:c r="N45" s="77" t="str">
        <x:v>Git Historian / Release Engineer</x:v>
      </x:c>
      <x:c r="O45" s="77" t="str">
        <x:v>A2</x:v>
      </x:c>
      <x:c r="P45" s="77" t="str">
        <x:v>E2+E4+E5</x:v>
      </x:c>
      <x:c r="Q45" s="77" t="str">
        <x:v>No</x:v>
      </x:c>
      <x:c r="R45" s="77" t="str">
        <x:v>Release commit/tag, wheel, sdist, proof bundle, and hashes are remotely visible</x:v>
      </x:c>
      <x:c r="S45" s="77" t="str">
        <x:v>Uncommitted evidence or tag mismatch</x:v>
      </x:c>
      <x:c r="T45" s="77" t="str">
        <x:v>Release candidate is immutable and reproducible</x:v>
      </x:c>
    </x:row>
    <x:row r="46">
      <x:c r="A46" s="141" t="str">
        <x:v>P-045</x:v>
      </x:c>
      <x:c r="B46" s="141" t="str">
        <x:v>S4</x:v>
      </x:c>
      <x:c r="C46" s="141" t="str">
        <x:v>Independent Audit</x:v>
      </x:c>
      <x:c r="D46" s="141" t="str">
        <x:v>Run final independent Codex audit and fix material findings</x:v>
      </x:c>
      <x:c r="E46" s="141" t="str">
        <x:v>CODEX_REPOSITORY</x:v>
      </x:c>
      <x:c r="F46" s="141" t="str">
        <x:v>P1</x:v>
      </x:c>
      <x:c r="G46" s="141" t="str">
        <x:v>Not Started</x:v>
      </x:c>
      <x:c r="H46" s="141" t="str">
        <x:v>P-044</x:v>
      </x:c>
      <x:c r="I46" s="142" t="n">
        <x:v>0.9</x:v>
      </x:c>
      <x:c r="J46" s="143" t="n">
        <x:v>65</x:v>
      </x:c>
      <x:c r="K46" s="143" t="n">
        <x:v>4</x:v>
      </x:c>
      <x:c r="L46" s="144" t="n">
        <x:v>46223.45138888889</x:v>
      </x:c>
      <x:c r="M46" s="141" t="str">
        <x:v>CODEX</x:v>
      </x:c>
      <x:c r="N46" s="141" t="str">
        <x:v>Codex Repository Engineer</x:v>
      </x:c>
      <x:c r="O46" s="141" t="str">
        <x:v>A1</x:v>
      </x:c>
      <x:c r="P46" s="141" t="str">
        <x:v>E2+E3+E4</x:v>
      </x:c>
      <x:c r="Q46" s="141" t="str">
        <x:v>Yes</x:v>
      </x:c>
      <x:c r="R46" s="141" t="str">
        <x:v>Audit report, findings, fixes, retest, and final verdict archived</x:v>
      </x:c>
      <x:c r="S46" s="141" t="str">
        <x:v>Critical issue remains unresolved</x:v>
      </x:c>
      <x:c r="T46" s="141" t="str">
        <x:v>Final Codex hardening is proven</x:v>
      </x:c>
    </x:row>
    <x:row r="47">
      <x:c r="A47" s="77" t="str">
        <x:v>P-046</x:v>
      </x:c>
      <x:c r="B47" s="77" t="str">
        <x:v>S5</x:v>
      </x:c>
      <x:c r="C47" s="77" t="str">
        <x:v>Demo</x:v>
      </x:c>
      <x:c r="D47" s="77" t="str">
        <x:v>Freeze the three-minute demo script against the actual golden path</x:v>
      </x:c>
      <x:c r="E47" s="77" t="str">
        <x:v>HUMAN_REVIEW</x:v>
      </x:c>
      <x:c r="F47" s="77" t="str">
        <x:v>P0</x:v>
      </x:c>
      <x:c r="G47" s="77" t="str">
        <x:v>Not Started</x:v>
      </x:c>
      <x:c r="H47" s="77" t="str">
        <x:v>P-042,P-045</x:v>
      </x:c>
      <x:c r="I47" s="85" t="n">
        <x:v>0.35</x:v>
      </x:c>
      <x:c r="J47" s="140" t="n">
        <x:v>20</x:v>
      </x:c>
      <x:c r="K47" s="140" t="n">
        <x:v>1</x:v>
      </x:c>
      <x:c r="L47" s="99" t="n">
        <x:v>46223.46527777778</x:v>
      </x:c>
      <x:c r="M47" s="77" t="str">
        <x:v>WORK+HUMAN</x:v>
      </x:c>
      <x:c r="N47" s="77" t="str">
        <x:v>Janus Prime Reviewer</x:v>
      </x:c>
      <x:c r="O47" s="77" t="str">
        <x:v>A2</x:v>
      </x:c>
      <x:c r="P47" s="77" t="str">
        <x:v>E1+E5</x:v>
      </x:c>
      <x:c r="Q47" s="77" t="str">
        <x:v>No</x:v>
      </x:c>
      <x:c r="R47" s="77" t="str">
        <x:v>Script timestamps total &lt;= 3:00 and each scene maps to live evidence</x:v>
      </x:c>
      <x:c r="S47" s="77" t="str">
        <x:v>Script depends on unavailable behavior</x:v>
      </x:c>
      <x:c r="T47" s="77" t="str">
        <x:v>Demo story matches product truth</x:v>
      </x:c>
    </x:row>
    <x:row r="48">
      <x:c r="A48" s="141" t="str">
        <x:v>P-047</x:v>
      </x:c>
      <x:c r="B48" s="141" t="str">
        <x:v>S5</x:v>
      </x:c>
      <x:c r="C48" s="141" t="str">
        <x:v>Demo</x:v>
      </x:c>
      <x:c r="D48" s="141" t="str">
        <x:v>Run three timed rehearsals and record timing/failure notes</x:v>
      </x:c>
      <x:c r="E48" s="141" t="str">
        <x:v>LOCAL_WINDOWS</x:v>
      </x:c>
      <x:c r="F48" s="141" t="str">
        <x:v>P0</x:v>
      </x:c>
      <x:c r="G48" s="141" t="str">
        <x:v>Not Started</x:v>
      </x:c>
      <x:c r="H48" s="141" t="str">
        <x:v>P-046</x:v>
      </x:c>
      <x:c r="I48" s="142" t="n">
        <x:v>0.75</x:v>
      </x:c>
      <x:c r="J48" s="143" t="n">
        <x:v>35</x:v>
      </x:c>
      <x:c r="K48" s="143" t="n">
        <x:v>3</x:v>
      </x:c>
      <x:c r="L48" s="144" t="n">
        <x:v>46223.49652777778</x:v>
      </x:c>
      <x:c r="M48" s="141" t="str">
        <x:v>CODEX</x:v>
      </x:c>
      <x:c r="N48" s="141" t="str">
        <x:v>Local Windows Operator</x:v>
      </x:c>
      <x:c r="O48" s="141" t="str">
        <x:v>A1</x:v>
      </x:c>
      <x:c r="P48" s="141" t="str">
        <x:v>E2+E3+E4</x:v>
      </x:c>
      <x:c r="Q48" s="141" t="str">
        <x:v>No</x:v>
      </x:c>
      <x:c r="R48" s="141" t="str">
        <x:v>Three runs complete; median &lt;= 3:00; failsafe path tested</x:v>
      </x:c>
      <x:c r="S48" s="141" t="str">
        <x:v>Unstable timing or demo nondeterminism</x:v>
      </x:c>
      <x:c r="T48" s="141" t="str">
        <x:v>Three-minute demo is repeatable</x:v>
      </x:c>
    </x:row>
    <x:row r="49">
      <x:c r="A49" s="77" t="str">
        <x:v>P-048</x:v>
      </x:c>
      <x:c r="B49" s="77" t="str">
        <x:v>S5</x:v>
      </x:c>
      <x:c r="C49" s="77" t="str">
        <x:v>Demo</x:v>
      </x:c>
      <x:c r="D49" s="77" t="str">
        <x:v>Capture final screenshots of console, candidates, failover, receipt, genome, and ServerForge</x:v>
      </x:c>
      <x:c r="E49" s="77" t="str">
        <x:v>DEMO_RECORDING</x:v>
      </x:c>
      <x:c r="F49" s="77" t="str">
        <x:v>P0</x:v>
      </x:c>
      <x:c r="G49" s="77" t="str">
        <x:v>Not Started</x:v>
      </x:c>
      <x:c r="H49" s="77" t="str">
        <x:v>P-047</x:v>
      </x:c>
      <x:c r="I49" s="85" t="n">
        <x:v>0.45</x:v>
      </x:c>
      <x:c r="J49" s="140" t="n">
        <x:v>22</x:v>
      </x:c>
      <x:c r="K49" s="140" t="n">
        <x:v>2</x:v>
      </x:c>
      <x:c r="L49" s="99" t="n">
        <x:v>46223.51388888889</x:v>
      </x:c>
      <x:c r="M49" s="77" t="str">
        <x:v>WORK+HUMAN</x:v>
      </x:c>
      <x:c r="N49" s="77" t="str">
        <x:v>Proof Media Producer</x:v>
      </x:c>
      <x:c r="O49" s="77" t="str">
        <x:v>A2</x:v>
      </x:c>
      <x:c r="P49" s="77" t="str">
        <x:v>E1+E5</x:v>
      </x:c>
      <x:c r="Q49" s="77" t="str">
        <x:v>No</x:v>
      </x:c>
      <x:c r="R49" s="77" t="str">
        <x:v>Public-safe screenshots are legible and tied to evidence IDs</x:v>
      </x:c>
      <x:c r="S49" s="77" t="str">
        <x:v>Sensitive data or unreadable output</x:v>
      </x:c>
      <x:c r="T49" s="77" t="str">
        <x:v>Visual proof package exists</x:v>
      </x:c>
    </x:row>
    <x:row r="50">
      <x:c r="A50" s="141" t="str">
        <x:v>P-049</x:v>
      </x:c>
      <x:c r="B50" s="141" t="str">
        <x:v>S5</x:v>
      </x:c>
      <x:c r="C50" s="141" t="str">
        <x:v>Demo</x:v>
      </x:c>
      <x:c r="D50" s="141" t="str">
        <x:v>Record and export the final demo video</x:v>
      </x:c>
      <x:c r="E50" s="141" t="str">
        <x:v>DEMO_RECORDING</x:v>
      </x:c>
      <x:c r="F50" s="141" t="str">
        <x:v>P0</x:v>
      </x:c>
      <x:c r="G50" s="141" t="str">
        <x:v>Not Started</x:v>
      </x:c>
      <x:c r="H50" s="141" t="str">
        <x:v>P-047,P-048</x:v>
      </x:c>
      <x:c r="I50" s="142" t="n">
        <x:v>0.9</x:v>
      </x:c>
      <x:c r="J50" s="143" t="n">
        <x:v>50</x:v>
      </x:c>
      <x:c r="K50" s="143" t="n">
        <x:v>4</x:v>
      </x:c>
      <x:c r="L50" s="144" t="n">
        <x:v>46223.54861111111</x:v>
      </x:c>
      <x:c r="M50" s="141" t="str">
        <x:v>WORK+HUMAN</x:v>
      </x:c>
      <x:c r="N50" s="141" t="str">
        <x:v>Proof Media Producer</x:v>
      </x:c>
      <x:c r="O50" s="141" t="str">
        <x:v>A2</x:v>
      </x:c>
      <x:c r="P50" s="141" t="str">
        <x:v>E1+E5</x:v>
      </x:c>
      <x:c r="Q50" s="141" t="str">
        <x:v>No</x:v>
      </x:c>
      <x:c r="R50" s="141" t="str">
        <x:v>Video plays, meets time/format limits, and shows required proof loop</x:v>
      </x:c>
      <x:c r="S50" s="141" t="str">
        <x:v>Recording failure or rule mismatch</x:v>
      </x:c>
      <x:c r="T50" s="141" t="str">
        <x:v>Judge-ready demo video</x:v>
      </x:c>
    </x:row>
    <x:row r="51">
      <x:c r="A51" s="77" t="str">
        <x:v>P-050</x:v>
      </x:c>
      <x:c r="B51" s="77" t="str">
        <x:v>S5</x:v>
      </x:c>
      <x:c r="C51" s="77" t="str">
        <x:v>Judge Package</x:v>
      </x:c>
      <x:c r="D51" s="77" t="str">
        <x:v>Write a one-page judge quickstart and reproduction sequence</x:v>
      </x:c>
      <x:c r="E51" s="77" t="str">
        <x:v>CODEX_REPOSITORY</x:v>
      </x:c>
      <x:c r="F51" s="77" t="str">
        <x:v>P0</x:v>
      </x:c>
      <x:c r="G51" s="77" t="str">
        <x:v>Not Started</x:v>
      </x:c>
      <x:c r="H51" s="77" t="str">
        <x:v>P-044,P-046</x:v>
      </x:c>
      <x:c r="I51" s="85" t="n">
        <x:v>0.45</x:v>
      </x:c>
      <x:c r="J51" s="140" t="n">
        <x:v>25</x:v>
      </x:c>
      <x:c r="K51" s="140" t="n">
        <x:v>2</x:v>
      </x:c>
      <x:c r="L51" s="99" t="n">
        <x:v>46223.56597222222</x:v>
      </x:c>
      <x:c r="M51" s="77" t="str">
        <x:v>CODEX</x:v>
      </x:c>
      <x:c r="N51" s="77" t="str">
        <x:v>Codex Repository Engineer</x:v>
      </x:c>
      <x:c r="O51" s="77" t="str">
        <x:v>A1</x:v>
      </x:c>
      <x:c r="P51" s="77" t="str">
        <x:v>E2+E3+E4</x:v>
      </x:c>
      <x:c r="Q51" s="77" t="str">
        <x:v>No</x:v>
      </x:c>
      <x:c r="R51" s="77" t="str">
        <x:v>Fresh reviewer can install/run/verify with exact commands</x:v>
      </x:c>
      <x:c r="S51" s="77" t="str">
        <x:v>Instructions assume local hidden state</x:v>
      </x:c>
      <x:c r="T51" s="77" t="str">
        <x:v>Judges can reproduce the entry</x:v>
      </x:c>
    </x:row>
    <x:row r="52">
      <x:c r="A52" s="141" t="str">
        <x:v>P-051</x:v>
      </x:c>
      <x:c r="B52" s="141" t="str">
        <x:v>S5</x:v>
      </x:c>
      <x:c r="C52" s="141" t="str">
        <x:v>Judge Package</x:v>
      </x:c>
      <x:c r="D52" s="141" t="str">
        <x:v>Regenerate the ServerForge case study from structured events</x:v>
      </x:c>
      <x:c r="E52" s="141" t="str">
        <x:v>LOCAL_WINDOWS</x:v>
      </x:c>
      <x:c r="F52" s="141" t="str">
        <x:v>P1</x:v>
      </x:c>
      <x:c r="G52" s="141" t="str">
        <x:v>Not Started</x:v>
      </x:c>
      <x:c r="H52" s="141" t="str">
        <x:v>P-022,P-031,P-042</x:v>
      </x:c>
      <x:c r="I52" s="142" t="n">
        <x:v>0.45</x:v>
      </x:c>
      <x:c r="J52" s="143" t="n">
        <x:v>28</x:v>
      </x:c>
      <x:c r="K52" s="143" t="n">
        <x:v>2</x:v>
      </x:c>
      <x:c r="L52" s="144" t="n">
        <x:v>46223.583333333336</x:v>
      </x:c>
      <x:c r="M52" s="141" t="str">
        <x:v>CODEX</x:v>
      </x:c>
      <x:c r="N52" s="141" t="str">
        <x:v>Local Windows Operator</x:v>
      </x:c>
      <x:c r="O52" s="141" t="str">
        <x:v>A1</x:v>
      </x:c>
      <x:c r="P52" s="141" t="str">
        <x:v>E2+E3+E4</x:v>
      </x:c>
      <x:c r="Q52" s="141" t="str">
        <x:v>Yes</x:v>
      </x:c>
      <x:c r="R52" s="141" t="str">
        <x:v>Case study chronology matches event IDs, commits, receipts, and limitations</x:v>
      </x:c>
      <x:c r="S52" s="141" t="str">
        <x:v>Narrative diverges from ledger</x:v>
      </x:c>
      <x:c r="T52" s="141" t="str">
        <x:v>Build process itself is proven</x:v>
      </x:c>
    </x:row>
    <x:row r="53">
      <x:c r="A53" s="77" t="str">
        <x:v>P-052</x:v>
      </x:c>
      <x:c r="B53" s="77" t="str">
        <x:v>S5</x:v>
      </x:c>
      <x:c r="C53" s="77" t="str">
        <x:v>Judge Package</x:v>
      </x:c>
      <x:c r="D53" s="77" t="str">
        <x:v>Finalize architecture diagram and product story for submission</x:v>
      </x:c>
      <x:c r="E53" s="77" t="str">
        <x:v>HUMAN_REVIEW</x:v>
      </x:c>
      <x:c r="F53" s="77" t="str">
        <x:v>P1</x:v>
      </x:c>
      <x:c r="G53" s="77" t="str">
        <x:v>Not Started</x:v>
      </x:c>
      <x:c r="H53" s="77" t="str">
        <x:v>P-043,P-051</x:v>
      </x:c>
      <x:c r="I53" s="85" t="n">
        <x:v>0.4</x:v>
      </x:c>
      <x:c r="J53" s="140" t="n">
        <x:v>22</x:v>
      </x:c>
      <x:c r="K53" s="140" t="n">
        <x:v>2</x:v>
      </x:c>
      <x:c r="L53" s="99" t="n">
        <x:v>46223.59722222222</x:v>
      </x:c>
      <x:c r="M53" s="77" t="str">
        <x:v>WORK+HUMAN</x:v>
      </x:c>
      <x:c r="N53" s="77" t="str">
        <x:v>Janus Prime Reviewer</x:v>
      </x:c>
      <x:c r="O53" s="77" t="str">
        <x:v>A2</x:v>
      </x:c>
      <x:c r="P53" s="77" t="str">
        <x:v>E1+E5</x:v>
      </x:c>
      <x:c r="Q53" s="77" t="str">
        <x:v>Yes</x:v>
      </x:c>
      <x:c r="R53" s="77" t="str">
        <x:v>Diagram and story show Codex → EDEN → PROMETHEUS self-build → proof without false claims</x:v>
      </x:c>
      <x:c r="S53" s="77" t="str">
        <x:v>Overcomplex or inaccurate diagram</x:v>
      </x:c>
      <x:c r="T53" s="77" t="str">
        <x:v>Big picture is instantly legible</x:v>
      </x:c>
    </x:row>
    <x:row r="54">
      <x:c r="A54" s="141" t="str">
        <x:v>P-053</x:v>
      </x:c>
      <x:c r="B54" s="141" t="str">
        <x:v>S5</x:v>
      </x:c>
      <x:c r="C54" s="141" t="str">
        <x:v>Contest Compliance</x:v>
      </x:c>
      <x:c r="D54" s="141" t="str">
        <x:v>Verify current contest rules, deadline, eligibility, licensing, visibility, and required fields</x:v>
      </x:c>
      <x:c r="E54" s="141" t="str">
        <x:v>COMPETITION_SUBMISSION</x:v>
      </x:c>
      <x:c r="F54" s="141" t="str">
        <x:v>P0</x:v>
      </x:c>
      <x:c r="G54" s="141" t="str">
        <x:v>Blocked External</x:v>
      </x:c>
      <x:c r="H54" s="141"/>
      <x:c r="I54" s="142" t="n">
        <x:v>0.45</x:v>
      </x:c>
      <x:c r="J54" s="143" t="n">
        <x:v>22</x:v>
      </x:c>
      <x:c r="K54" s="143" t="n">
        <x:v>2</x:v>
      </x:c>
      <x:c r="L54" s="144" t="n">
        <x:v>46223.614583333336</x:v>
      </x:c>
      <x:c r="M54" s="141" t="str">
        <x:v>WORK+HUMAN</x:v>
      </x:c>
      <x:c r="N54" s="141" t="str">
        <x:v>Competition Submission Steward</x:v>
      </x:c>
      <x:c r="O54" s="141" t="str">
        <x:v>A3</x:v>
      </x:c>
      <x:c r="P54" s="141" t="str">
        <x:v>E1+E5</x:v>
      </x:c>
      <x:c r="Q54" s="141" t="str">
        <x:v>Conditional</x:v>
      </x:c>
      <x:c r="R54" s="141" t="str">
        <x:v>Current rules captured with source/date; checklist updated</x:v>
      </x:c>
      <x:c r="S54" s="141" t="str">
        <x:v>Rules unavailable or misunderstood</x:v>
      </x:c>
      <x:c r="T54" s="141" t="str">
        <x:v>Submission complies with current contest</x:v>
      </x:c>
    </x:row>
    <x:row r="55">
      <x:c r="A55" s="77" t="str">
        <x:v>P-054</x:v>
      </x:c>
      <x:c r="B55" s="77" t="str">
        <x:v>S5</x:v>
      </x:c>
      <x:c r="C55" s="77" t="str">
        <x:v>Contest Compliance</x:v>
      </x:c>
      <x:c r="D55" s="77" t="str">
        <x:v>Complete a submission-form dry run with all assets and text</x:v>
      </x:c>
      <x:c r="E55" s="77" t="str">
        <x:v>COMPETITION_SUBMISSION</x:v>
      </x:c>
      <x:c r="F55" s="77" t="str">
        <x:v>P0</x:v>
      </x:c>
      <x:c r="G55" s="77" t="str">
        <x:v>Not Started</x:v>
      </x:c>
      <x:c r="H55" s="77" t="str">
        <x:v>P-049,P-050,P-052,P-053</x:v>
      </x:c>
      <x:c r="I55" s="85" t="n">
        <x:v>0.45</x:v>
      </x:c>
      <x:c r="J55" s="140" t="n">
        <x:v>24</x:v>
      </x:c>
      <x:c r="K55" s="140" t="n">
        <x:v>2</x:v>
      </x:c>
      <x:c r="L55" s="99" t="n">
        <x:v>46223.631944444445</x:v>
      </x:c>
      <x:c r="M55" s="77" t="str">
        <x:v>WORK+HUMAN</x:v>
      </x:c>
      <x:c r="N55" s="77" t="str">
        <x:v>Competition Submission Steward</x:v>
      </x:c>
      <x:c r="O55" s="77" t="str">
        <x:v>A3</x:v>
      </x:c>
      <x:c r="P55" s="77" t="str">
        <x:v>E1+E5</x:v>
      </x:c>
      <x:c r="Q55" s="77" t="str">
        <x:v>No</x:v>
      </x:c>
      <x:c r="R55" s="77" t="str">
        <x:v>All fields populated; links work; upload sizes/formats accepted</x:v>
      </x:c>
      <x:c r="S55" s="77" t="str">
        <x:v>Missing field or asset format</x:v>
      </x:c>
      <x:c r="T55" s="77" t="str">
        <x:v>Submission package is complete</x:v>
      </x:c>
    </x:row>
    <x:row r="56">
      <x:c r="A56" s="141" t="str">
        <x:v>P-055</x:v>
      </x:c>
      <x:c r="B56" s="141" t="str">
        <x:v>S5</x:v>
      </x:c>
      <x:c r="C56" s="141" t="str">
        <x:v>Submission</x:v>
      </x:c>
      <x:c r="D56" s="141" t="str">
        <x:v>Submit the final competition entry</x:v>
      </x:c>
      <x:c r="E56" s="141" t="str">
        <x:v>COMPETITION_SUBMISSION</x:v>
      </x:c>
      <x:c r="F56" s="141" t="str">
        <x:v>P0</x:v>
      </x:c>
      <x:c r="G56" s="141" t="str">
        <x:v>Not Started</x:v>
      </x:c>
      <x:c r="H56" s="141" t="str">
        <x:v>P-054</x:v>
      </x:c>
      <x:c r="I56" s="142" t="n">
        <x:v>0.3</x:v>
      </x:c>
      <x:c r="J56" s="143" t="n">
        <x:v>18</x:v>
      </x:c>
      <x:c r="K56" s="143" t="n">
        <x:v>1</x:v>
      </x:c>
      <x:c r="L56" s="144" t="n">
        <x:v>46223.645833333336</x:v>
      </x:c>
      <x:c r="M56" s="141" t="str">
        <x:v>WORK+HUMAN</x:v>
      </x:c>
      <x:c r="N56" s="141" t="str">
        <x:v>Competition Submission Steward</x:v>
      </x:c>
      <x:c r="O56" s="141" t="str">
        <x:v>A3</x:v>
      </x:c>
      <x:c r="P56" s="141" t="str">
        <x:v>E1+E5</x:v>
      </x:c>
      <x:c r="Q56" s="141" t="str">
        <x:v>No</x:v>
      </x:c>
      <x:c r="R56" s="141" t="str">
        <x:v>Confirmation screen/email and submission ID archived</x:v>
      </x:c>
      <x:c r="S56" s="141" t="str">
        <x:v>Portal failure or missing authorization</x:v>
      </x:c>
      <x:c r="T56" s="141" t="str">
        <x:v>Entry is officially submitted</x:v>
      </x:c>
    </x:row>
    <x:row r="57">
      <x:c r="A57" s="77" t="str">
        <x:v>P-056</x:v>
      </x:c>
      <x:c r="B57" s="77" t="str">
        <x:v>S5</x:v>
      </x:c>
      <x:c r="C57" s="77" t="str">
        <x:v>Submission</x:v>
      </x:c>
      <x:c r="D57" s="77" t="str">
        <x:v>Complete the required feedback action if applicable</x:v>
      </x:c>
      <x:c r="E57" s="77" t="str">
        <x:v>COMPETITION_SUBMISSION</x:v>
      </x:c>
      <x:c r="F57" s="77" t="str">
        <x:v>P0</x:v>
      </x:c>
      <x:c r="G57" s="77" t="str">
        <x:v>Not Started</x:v>
      </x:c>
      <x:c r="H57" s="77" t="str">
        <x:v>P-055,P-053</x:v>
      </x:c>
      <x:c r="I57" s="85" t="n">
        <x:v>0.15</x:v>
      </x:c>
      <x:c r="J57" s="140" t="n">
        <x:v>8</x:v>
      </x:c>
      <x:c r="K57" s="140" t="n">
        <x:v>1</x:v>
      </x:c>
      <x:c r="L57" s="99" t="n">
        <x:v>46223.65277777778</x:v>
      </x:c>
      <x:c r="M57" s="77" t="str">
        <x:v>WORK+HUMAN</x:v>
      </x:c>
      <x:c r="N57" s="77" t="str">
        <x:v>Competition Submission Steward</x:v>
      </x:c>
      <x:c r="O57" s="77" t="str">
        <x:v>A3</x:v>
      </x:c>
      <x:c r="P57" s="77" t="str">
        <x:v>E1+E5</x:v>
      </x:c>
      <x:c r="Q57" s="77" t="str">
        <x:v>No</x:v>
      </x:c>
      <x:c r="R57" s="77" t="str">
        <x:v>Feedback confirmation archived or marked not required by verified rules</x:v>
      </x:c>
      <x:c r="S57" s="77" t="str">
        <x:v>Requirement overlooked</x:v>
      </x:c>
      <x:c r="T57" s="77" t="str">
        <x:v>All contest actions are closed</x:v>
      </x:c>
    </x:row>
    <x:row r="58">
      <x:c r="A58" s="141" t="str">
        <x:v>P-057</x:v>
      </x:c>
      <x:c r="B58" s="141" t="str">
        <x:v>S5</x:v>
      </x:c>
      <x:c r="C58" s="141" t="str">
        <x:v>Submission</x:v>
      </x:c>
      <x:c r="D58" s="141" t="str">
        <x:v>Perform post-submission verification and archive the immutable final packet</x:v>
      </x:c>
      <x:c r="E58" s="141" t="str">
        <x:v>HUMAN_REVIEW</x:v>
      </x:c>
      <x:c r="F58" s="141" t="str">
        <x:v>P0</x:v>
      </x:c>
      <x:c r="G58" s="141" t="str">
        <x:v>Not Started</x:v>
      </x:c>
      <x:c r="H58" s="141" t="str">
        <x:v>P-055,P-056</x:v>
      </x:c>
      <x:c r="I58" s="142" t="n">
        <x:v>0.45</x:v>
      </x:c>
      <x:c r="J58" s="143" t="n">
        <x:v>25</x:v>
      </x:c>
      <x:c r="K58" s="143" t="n">
        <x:v>2</x:v>
      </x:c>
      <x:c r="L58" s="144" t="n">
        <x:v>46223.67013888889</x:v>
      </x:c>
      <x:c r="M58" s="141" t="str">
        <x:v>WORK+HUMAN</x:v>
      </x:c>
      <x:c r="N58" s="141" t="str">
        <x:v>Janus Prime Reviewer</x:v>
      </x:c>
      <x:c r="O58" s="141" t="str">
        <x:v>A2</x:v>
      </x:c>
      <x:c r="P58" s="141" t="str">
        <x:v>E1+E5</x:v>
      </x:c>
      <x:c r="Q58" s="141" t="str">
        <x:v>No</x:v>
      </x:c>
      <x:c r="R58" s="141" t="str">
        <x:v>Submitted links, commit, release, video, hashes, and confirmation all reopen successfully</x:v>
      </x:c>
      <x:c r="S58" s="141" t="str">
        <x:v>Broken link or wrong commit</x:v>
      </x:c>
      <x:c r="T58" s="141" t="str">
        <x:v>Submission is safely sealed before 5:00 p.m.</x:v>
      </x:c>
    </x:row>
  </x:sheetData>
  <x:conditionalFormatting sqref="G2:G58">
    <x:cfRule type="expression" dxfId="12" priority="1">
      <x:formula>G2="Blocked External"</x:formula>
    </x:cfRule>
    <x:cfRule type="expression" dxfId="13" priority="2">
      <x:formula>G2="Ready"</x:formula>
    </x:cfRule>
    <x:cfRule type="expression" dxfId="14" priority="3">
      <x:formula>OR(G2="Local Verified",G2="Complete",G2="Remote Verified")</x:formula>
    </x:cfRule>
  </x:conditionalFormatting>
  <x:dataValidations count="2">
    <x:dataValidation type="list" sqref="G2:G500">
      <x:formula1>"Not Started,Ready,In Progress,Local Verified,Remote Verified,Blocked External,Blocked Internal,Rejected,Rolled Back,Complete"</x:formula1>
    </x:dataValidation>
    <x:dataValidation type="list" sqref="O2:O500">
      <x:formula1>"A0,A1,A2,A3"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469f5df0f74f7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8" hidden="0" customWidth="1"/>
    <x:col min="4" max="4" width="34" hidden="0" customWidth="1"/>
    <x:col min="5" max="5" width="18" hidden="0" customWidth="1"/>
    <x:col min="6" max="6" width="34" hidden="0" customWidth="1"/>
    <x:col min="7" max="7" width="30" hidden="0" customWidth="1"/>
  </x:cols>
  <x:sheetData>
    <x:row r="1" ht="30" customHeight="1">
      <x:c r="A1" s="111" t="str">
        <x:v>ADAPTIVE TASK ROUTER | WORK • CODEX • HYBRID • HUMAN</x:v>
      </x:c>
      <x:c r="B1" s="111"/>
      <x:c r="C1" s="111"/>
      <x:c r="D1" s="111"/>
      <x:c r="E1" s="111"/>
      <x:c r="F1" s="111"/>
      <x:c r="G1" s="111"/>
    </x:row>
    <x:row r="3" ht="24" customHeight="1">
      <x:c r="A3" s="122" t="str">
        <x:v>Archetype</x:v>
      </x:c>
      <x:c r="B3" s="122" t="str">
        <x:v>Detection Signals</x:v>
      </x:c>
      <x:c r="C3" s="122" t="str">
        <x:v>Primary Surface</x:v>
      </x:c>
      <x:c r="D3" s="122" t="str">
        <x:v>Sparse Roles</x:v>
      </x:c>
      <x:c r="E3" s="122" t="str">
        <x:v>Default Approval</x:v>
      </x:c>
      <x:c r="F3" s="122" t="str">
        <x:v>Required Proof</x:v>
      </x:c>
      <x:c r="G3" s="122" t="str">
        <x:v>Fallback</x:v>
      </x:c>
    </x:row>
    <x:row r="4">
      <x:c r="A4" s="145" t="str">
        <x:v>SOFTWARE_ENGINEERING</x:v>
      </x:c>
      <x:c r="B4" s="145" t="str">
        <x:v>repository, code, bug, feature, refactor, dependency, test, build</x:v>
      </x:c>
      <x:c r="C4" s="145" t="str">
        <x:v>CODEX</x:v>
      </x:c>
      <x:c r="D4" s="145" t="str">
        <x:v>Codex Repository Engineer; Test Engineer</x:v>
      </x:c>
      <x:c r="E4" s="145" t="str">
        <x:v>A1</x:v>
      </x:c>
      <x:c r="F4" s="145" t="str">
        <x:v>diff + commands + tests + receipt</x:v>
      </x:c>
      <x:c r="G4" s="145" t="str">
        <x:v>Unknown Task Protocol</x:v>
      </x:c>
    </x:row>
    <x:row r="5">
      <x:c r="A5" s="77" t="str">
        <x:v>REPOSITORY_RECOVERY</x:v>
      </x:c>
      <x:c r="B5" s="77" t="str">
        <x:v>git history, branch divergence, lost commit, reflog, merge, release</x:v>
      </x:c>
      <x:c r="C5" s="77" t="str">
        <x:v>CODEX</x:v>
      </x:c>
      <x:c r="D5" s="77" t="str">
        <x:v>Git Historian; Release Engineer</x:v>
      </x:c>
      <x:c r="E5" s="77" t="str">
        <x:v>A2</x:v>
      </x:c>
      <x:c r="F5" s="77" t="str">
        <x:v>refs + commit SHAs + remote reachability + regression</x:v>
      </x:c>
      <x:c r="G5" s="77" t="str">
        <x:v>Unknown Task Protocol</x:v>
      </x:c>
    </x:row>
    <x:row r="6">
      <x:c r="A6" s="145" t="str">
        <x:v>RESEARCH_AND_SYNTHESIS</x:v>
      </x:c>
      <x:c r="B6" s="145" t="str">
        <x:v>research, compare, investigate, current rules, market, sources</x:v>
      </x:c>
      <x:c r="C6" s="145" t="str">
        <x:v>WORK</x:v>
      </x:c>
      <x:c r="D6" s="145" t="str">
        <x:v>Research Lead; Evidence Analyst</x:v>
      </x:c>
      <x:c r="E6" s="145" t="str">
        <x:v>A0</x:v>
      </x:c>
      <x:c r="F6" s="145" t="str">
        <x:v>source-backed findings + assumptions + dated evidence</x:v>
      </x:c>
      <x:c r="G6" s="145" t="str">
        <x:v>Unknown Task Protocol</x:v>
      </x:c>
    </x:row>
    <x:row r="7">
      <x:c r="A7" s="77" t="str">
        <x:v>SPREADSHEET_MODELING</x:v>
      </x:c>
      <x:c r="B7" s="77" t="str">
        <x:v>xlsx, csv, model, tracker, formulas, dashboard, variance</x:v>
      </x:c>
      <x:c r="C7" s="77" t="str">
        <x:v>WORK</x:v>
      </x:c>
      <x:c r="D7" s="77" t="str">
        <x:v>Spreadsheet Architect; Data QA</x:v>
      </x:c>
      <x:c r="E7" s="77" t="str">
        <x:v>A1</x:v>
      </x:c>
      <x:c r="F7" s="77" t="str">
        <x:v>editable workbook + formula scan + visual QA</x:v>
      </x:c>
      <x:c r="G7" s="77" t="str">
        <x:v>Unknown Task Protocol</x:v>
      </x:c>
    </x:row>
    <x:row r="8">
      <x:c r="A8" s="145" t="str">
        <x:v>DOCUMENT_PRODUCTION</x:v>
      </x:c>
      <x:c r="B8" s="145" t="str">
        <x:v>doc, report, brief, quickstart, policy, proposal, case study</x:v>
      </x:c>
      <x:c r="C8" s="145" t="str">
        <x:v>WORK</x:v>
      </x:c>
      <x:c r="D8" s="145" t="str">
        <x:v>Document Producer; Technical Editor</x:v>
      </x:c>
      <x:c r="E8" s="145" t="str">
        <x:v>A1</x:v>
      </x:c>
      <x:c r="F8" s="145" t="str">
        <x:v>finished artifact + source map + render QA</x:v>
      </x:c>
      <x:c r="G8" s="145" t="str">
        <x:v>Unknown Task Protocol</x:v>
      </x:c>
    </x:row>
    <x:row r="9">
      <x:c r="A9" s="77" t="str">
        <x:v>PRESENTATION_AND_STORY</x:v>
      </x:c>
      <x:c r="B9" s="77" t="str">
        <x:v>slides, deck, pitch, judge story, architecture diagram</x:v>
      </x:c>
      <x:c r="C9" s="77" t="str">
        <x:v>WORK</x:v>
      </x:c>
      <x:c r="D9" s="77" t="str">
        <x:v>Narrative Architect; Presentation Designer</x:v>
      </x:c>
      <x:c r="E9" s="77" t="str">
        <x:v>A1</x:v>
      </x:c>
      <x:c r="F9" s="77" t="str">
        <x:v>editable deck + visual QA + timing map</x:v>
      </x:c>
      <x:c r="G9" s="77" t="str">
        <x:v>Unknown Task Protocol</x:v>
      </x:c>
    </x:row>
    <x:row r="10">
      <x:c r="A10" s="145" t="str">
        <x:v>DATA_ANALYSIS</x:v>
      </x:c>
      <x:c r="B10" s="145" t="str">
        <x:v>dataset, metrics, logs, anomalies, statistics, reconcile</x:v>
      </x:c>
      <x:c r="C10" s="145" t="str">
        <x:v>WORK+CODEX</x:v>
      </x:c>
      <x:c r="D10" s="145" t="str">
        <x:v>Data Analyst; Data Engineer</x:v>
      </x:c>
      <x:c r="E10" s="145" t="str">
        <x:v>A1</x:v>
      </x:c>
      <x:c r="F10" s="145" t="str">
        <x:v>reproducible analysis + output tables + checks</x:v>
      </x:c>
      <x:c r="G10" s="145" t="str">
        <x:v>Unknown Task Protocol</x:v>
      </x:c>
    </x:row>
    <x:row r="11">
      <x:c r="A11" s="77" t="str">
        <x:v>LOCAL_DESKTOP_OPERATION</x:v>
      </x:c>
      <x:c r="B11" s="77" t="str">
        <x:v>local files, Windows, PowerShell, desktop app, install, screenshot</x:v>
      </x:c>
      <x:c r="C11" s="77" t="str">
        <x:v>CODEX</x:v>
      </x:c>
      <x:c r="D11" s="77" t="str">
        <x:v>Local Windows Operator; Runtime Verifier</x:v>
      </x:c>
      <x:c r="E11" s="77" t="str">
        <x:v>A1</x:v>
      </x:c>
      <x:c r="F11" s="77" t="str">
        <x:v>command log + artifact paths + screenshots where needed</x:v>
      </x:c>
      <x:c r="G11" s="77" t="str">
        <x:v>Unknown Task Protocol</x:v>
      </x:c>
    </x:row>
    <x:row r="12">
      <x:c r="A12" s="145" t="str">
        <x:v>LINUX_WSL_OPERATION</x:v>
      </x:c>
      <x:c r="B12" s="145" t="str">
        <x:v>WSL, Ubuntu, bash, Linux, cross-runtime, failover</x:v>
      </x:c>
      <x:c r="C12" s="145" t="str">
        <x:v>CODEX</x:v>
      </x:c>
      <x:c r="D12" s="145" t="str">
        <x:v>WSL Runtime Operator; Continuity Engineer</x:v>
      </x:c>
      <x:c r="E12" s="145" t="str">
        <x:v>A1</x:v>
      </x:c>
      <x:c r="F12" s="145" t="str">
        <x:v>commands + checkpoint lineage + replay protection</x:v>
      </x:c>
      <x:c r="G12" s="145" t="str">
        <x:v>Unknown Task Protocol</x:v>
      </x:c>
    </x:row>
    <x:row r="13">
      <x:c r="A13" s="77" t="str">
        <x:v>CONNECTED_APP_OPERATION</x:v>
      </x:c>
      <x:c r="B13" s="77" t="str">
        <x:v>Gmail, Calendar, Drive, Slack, Teams, CRM, GitHub, Discord</x:v>
      </x:c>
      <x:c r="C13" s="77" t="str">
        <x:v>WORK+CODEX</x:v>
      </x:c>
      <x:c r="D13" s="77" t="str">
        <x:v>Connector Operator; Evidence Clerk</x:v>
      </x:c>
      <x:c r="E13" s="77" t="str">
        <x:v>A2</x:v>
      </x:c>
      <x:c r="F13" s="77" t="str">
        <x:v>action receipt + external confirmation + redacted ledger</x:v>
      </x:c>
      <x:c r="G13" s="77" t="str">
        <x:v>Unknown Task Protocol</x:v>
      </x:c>
    </x:row>
    <x:row r="14">
      <x:c r="A14" s="145" t="str">
        <x:v>WEB_AND_CURRENT_INFORMATION</x:v>
      </x:c>
      <x:c r="B14" s="145" t="str">
        <x:v>latest, current, today, rules, deadline, price, status, news</x:v>
      </x:c>
      <x:c r="C14" s="145" t="str">
        <x:v>WORK</x:v>
      </x:c>
      <x:c r="D14" s="145" t="str">
        <x:v>Web Researcher; Source Verifier</x:v>
      </x:c>
      <x:c r="E14" s="145" t="str">
        <x:v>A0</x:v>
      </x:c>
      <x:c r="F14" s="145" t="str">
        <x:v>dated citations + contradiction check</x:v>
      </x:c>
      <x:c r="G14" s="145" t="str">
        <x:v>Unknown Task Protocol</x:v>
      </x:c>
    </x:row>
    <x:row r="15">
      <x:c r="A15" s="77" t="str">
        <x:v>SECURITY_AND_DISCLOSURE</x:v>
      </x:c>
      <x:c r="B15" s="77" t="str">
        <x:v>secret, token, private path, vulnerability, scrub, disclosure</x:v>
      </x:c>
      <x:c r="C15" s="77" t="str">
        <x:v>WORK+CODEX</x:v>
      </x:c>
      <x:c r="D15" s="77" t="str">
        <x:v>Medusa Security Auditor; Red Team Challenger</x:v>
      </x:c>
      <x:c r="E15" s="77" t="str">
        <x:v>A2</x:v>
      </x:c>
      <x:c r="F15" s="77" t="str">
        <x:v>scan results + redaction diff + release verdict</x:v>
      </x:c>
      <x:c r="G15" s="77" t="str">
        <x:v>Unknown Task Protocol</x:v>
      </x:c>
    </x:row>
    <x:row r="16">
      <x:c r="A16" s="145" t="str">
        <x:v>COMPLIANCE_AND_SUBMISSION</x:v>
      </x:c>
      <x:c r="B16" s="145" t="str">
        <x:v>contest, legal, eligibility, license, portal, submit</x:v>
      </x:c>
      <x:c r="C16" s="145" t="str">
        <x:v>WORK+HUMAN</x:v>
      </x:c>
      <x:c r="D16" s="145" t="str">
        <x:v>Compliance Analyst; Submission Steward</x:v>
      </x:c>
      <x:c r="E16" s="145" t="str">
        <x:v>A3</x:v>
      </x:c>
      <x:c r="F16" s="145" t="str">
        <x:v>source/date checklist + confirmation ID + archived assets</x:v>
      </x:c>
      <x:c r="G16" s="145" t="str">
        <x:v>Unknown Task Protocol</x:v>
      </x:c>
    </x:row>
    <x:row r="17">
      <x:c r="A17" s="77" t="str">
        <x:v>MEDIA_AND_DEMO</x:v>
      </x:c>
      <x:c r="B17" s="77" t="str">
        <x:v>video, screenshot, recording, demo, voiceover, image</x:v>
      </x:c>
      <x:c r="C17" s="77" t="str">
        <x:v>WORK+HUMAN</x:v>
      </x:c>
      <x:c r="D17" s="77" t="str">
        <x:v>Proof Media Producer; Demo Director</x:v>
      </x:c>
      <x:c r="E17" s="77" t="str">
        <x:v>A2</x:v>
      </x:c>
      <x:c r="F17" s="77" t="str">
        <x:v>playable media + timing + evidence mapping</x:v>
      </x:c>
      <x:c r="G17" s="77" t="str">
        <x:v>Unknown Task Protocol</x:v>
      </x:c>
    </x:row>
    <x:row r="18">
      <x:c r="A18" s="145" t="str">
        <x:v>COMMUNICATION</x:v>
      </x:c>
      <x:c r="B18" s="145" t="str">
        <x:v>email, message, announcement, update, stakeholder</x:v>
      </x:c>
      <x:c r="C18" s="145" t="str">
        <x:v>WORK</x:v>
      </x:c>
      <x:c r="D18" s="145" t="str">
        <x:v>Communication Drafter; Context Reviewer</x:v>
      </x:c>
      <x:c r="E18" s="145" t="str">
        <x:v>A2</x:v>
      </x:c>
      <x:c r="F18" s="145" t="str">
        <x:v>approved draft or send receipt</x:v>
      </x:c>
      <x:c r="G18" s="145" t="str">
        <x:v>Unknown Task Protocol</x:v>
      </x:c>
    </x:row>
    <x:row r="19">
      <x:c r="A19" s="77" t="str">
        <x:v>SCHEDULING_AND_MONITORING</x:v>
      </x:c>
      <x:c r="B19" s="77" t="str">
        <x:v>remind, schedule, recurring, watch, monitor, alert</x:v>
      </x:c>
      <x:c r="C19" s="77" t="str">
        <x:v>WORK</x:v>
      </x:c>
      <x:c r="D19" s="77" t="str">
        <x:v>Scheduler; Watchkeeper</x:v>
      </x:c>
      <x:c r="E19" s="77" t="str">
        <x:v>A2</x:v>
      </x:c>
      <x:c r="F19" s="77" t="str">
        <x:v>task schedule + trigger condition + run receipt</x:v>
      </x:c>
      <x:c r="G19" s="77" t="str">
        <x:v>Unknown Task Protocol</x:v>
      </x:c>
    </x:row>
    <x:row r="20">
      <x:c r="A20" s="145" t="str">
        <x:v>INCIDENT_RESPONSE</x:v>
      </x:c>
      <x:c r="B20" s="145" t="str">
        <x:v>failure, outage, corruption, regression, broken environment</x:v>
      </x:c>
      <x:c r="C20" s="145" t="str">
        <x:v>WORK+CODEX</x:v>
      </x:c>
      <x:c r="D20" s="145" t="str">
        <x:v>Incident Commander; Recovery Agent</x:v>
      </x:c>
      <x:c r="E20" s="145" t="str">
        <x:v>A2</x:v>
      </x:c>
      <x:c r="F20" s="145" t="str">
        <x:v>timeline + containment + recovery test + postmortem</x:v>
      </x:c>
      <x:c r="G20" s="145" t="str">
        <x:v>Unknown Task Protocol</x:v>
      </x:c>
    </x:row>
    <x:row r="21">
      <x:c r="A21" s="77" t="str">
        <x:v>PROCUREMENT_AND_COMPARISON</x:v>
      </x:c>
      <x:c r="B21" s="77" t="str">
        <x:v>buy, product, vendor, quote, recommendation, cost</x:v>
      </x:c>
      <x:c r="C21" s="77" t="str">
        <x:v>WORK</x:v>
      </x:c>
      <x:c r="D21" s="77" t="str">
        <x:v>Procurement Analyst; Constraint Verifier</x:v>
      </x:c>
      <x:c r="E21" s="77" t="str">
        <x:v>A0</x:v>
      </x:c>
      <x:c r="F21" s="77" t="str">
        <x:v>current options + source-backed comparison + constraints</x:v>
      </x:c>
      <x:c r="G21" s="77" t="str">
        <x:v>Unknown Task Protocol</x:v>
      </x:c>
    </x:row>
    <x:row r="22">
      <x:c r="A22" t="str">
        <x:v>UNKNOWN_EDGE_CASE</x:v>
      </x:c>
      <x:c r="B22" t="str">
        <x:v>unrecognized, cross-domain, conflicting, missing tool, novel output</x:v>
      </x:c>
      <x:c r="C22" t="str">
        <x:v>DYNAMIC</x:v>
      </x:c>
      <x:c r="D22" t="str">
        <x:v>Novel Task Synthesizer; Janus Prime Dispatcher</x:v>
      </x:c>
      <x:c r="E22" t="str">
        <x:v>A0 then escalate</x:v>
      </x:c>
      <x:c r="F22" t="str">
        <x:v>capability census + reversible experiment + registered archetype</x:v>
      </x:c>
      <x:c r="G22" t="str">
        <x:v>Synthesize X-task and temporary role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2f1aa467eeb491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4" hidden="0" customWidth="1"/>
    <x:col min="3" max="3" width="26" hidden="0" customWidth="1"/>
    <x:col min="4" max="4" width="42" hidden="0" customWidth="1"/>
  </x:cols>
  <x:sheetData>
    <x:row r="1" ht="30" customHeight="1">
      <x:c r="A1" s="111" t="str">
        <x:v>SPARSE ROLE REGISTRY | ACTIVATE ONLY WHAT THE TASK NEEDS</x:v>
      </x:c>
      <x:c r="B1" s="111"/>
      <x:c r="C1" s="111"/>
      <x:c r="D1" s="111"/>
    </x:row>
    <x:row r="3" ht="24" customHeight="1">
      <x:c r="A3" s="134" t="str">
        <x:v>Role</x:v>
      </x:c>
      <x:c r="B3" s="134" t="str">
        <x:v>Responsibility</x:v>
      </x:c>
      <x:c r="C3" s="134" t="str">
        <x:v>Activation Trigger</x:v>
      </x:c>
      <x:c r="D3" s="134" t="str">
        <x:v>Output Contract</x:v>
      </x:c>
    </x:row>
    <x:row r="4">
      <x:c r="A4" s="141" t="str">
        <x:v>JANUS_PRIME_DISPATCHER</x:v>
      </x:c>
      <x:c r="B4" s="141" t="str">
        <x:v>Owns mission state, dependency order, surface routing, and stop/continue decisions.</x:v>
      </x:c>
      <x:c r="C4" s="141" t="str">
        <x:v>Always</x:v>
      </x:c>
      <x:c r="D4" s="141" t="str">
        <x:v>One named artifact, action, test, verdict, or approval tied to a task receipt</x:v>
      </x:c>
    </x:row>
    <x:row r="5">
      <x:c r="A5" s="77" t="str">
        <x:v>NOVEL_TASK_SYNTHESIZER</x:v>
      </x:c>
      <x:c r="B5" s="77" t="str">
        <x:v>Creates a temporary task archetype and role bundle when no known route fits.</x:v>
      </x:c>
      <x:c r="C5" s="77" t="str">
        <x:v>Unknown tasks only</x:v>
      </x:c>
      <x:c r="D5" s="77" t="str">
        <x:v>One named artifact, action, test, verdict, or approval tied to a task receipt</x:v>
      </x:c>
    </x:row>
    <x:row r="6">
      <x:c r="A6" s="141" t="str">
        <x:v>RESEARCH_LEAD</x:v>
      </x:c>
      <x:c r="B6" s="141" t="str">
        <x:v>Finds, verifies, and synthesizes current or source-backed information.</x:v>
      </x:c>
      <x:c r="C6" s="141" t="str">
        <x:v>Research</x:v>
      </x:c>
      <x:c r="D6" s="141" t="str">
        <x:v>One named artifact, action, test, verdict, or approval tied to a task receipt</x:v>
      </x:c>
    </x:row>
    <x:row r="7">
      <x:c r="A7" s="77" t="str">
        <x:v>EVIDENCE_ANALYST</x:v>
      </x:c>
      <x:c r="B7" s="77" t="str">
        <x:v>Separates facts, assumptions, contradictions, and proof sufficiency.</x:v>
      </x:c>
      <x:c r="C7" s="77" t="str">
        <x:v>Research/QA</x:v>
      </x:c>
      <x:c r="D7" s="77" t="str">
        <x:v>One named artifact, action, test, verdict, or approval tied to a task receipt</x:v>
      </x:c>
    </x:row>
    <x:row r="8">
      <x:c r="A8" s="141" t="str">
        <x:v>CODEX_REPOSITORY_ENGINEER</x:v>
      </x:c>
      <x:c r="B8" s="141" t="str">
        <x:v>Implements repository changes and maintains bounded scope.</x:v>
      </x:c>
      <x:c r="C8" s="141" t="str">
        <x:v>Code</x:v>
      </x:c>
      <x:c r="D8" s="141" t="str">
        <x:v>One named artifact, action, test, verdict, or approval tied to a task receipt</x:v>
      </x:c>
    </x:row>
    <x:row r="9">
      <x:c r="A9" s="77" t="str">
        <x:v>GIT_HISTORIAN</x:v>
      </x:c>
      <x:c r="B9" s="77" t="str">
        <x:v>Recovers lineages, compares refs, and protects authoritative history.</x:v>
      </x:c>
      <x:c r="C9" s="77" t="str">
        <x:v>Git/recovery</x:v>
      </x:c>
      <x:c r="D9" s="77" t="str">
        <x:v>One named artifact, action, test, verdict, or approval tied to a task receipt</x:v>
      </x:c>
    </x:row>
    <x:row r="10">
      <x:c r="A10" s="141" t="str">
        <x:v>BUILD_ENGINEER</x:v>
      </x:c>
      <x:c r="B10" s="141" t="str">
        <x:v>Creates reproducible builds, packages, installs, and clean environments.</x:v>
      </x:c>
      <x:c r="C10" s="141" t="str">
        <x:v>Build</x:v>
      </x:c>
      <x:c r="D10" s="141" t="str">
        <x:v>One named artifact, action, test, verdict, or approval tied to a task receipt</x:v>
      </x:c>
    </x:row>
    <x:row r="11">
      <x:c r="A11" s="77" t="str">
        <x:v>TEST_ENGINEER</x:v>
      </x:c>
      <x:c r="B11" s="77" t="str">
        <x:v>Designs and runs unit, integration, smoke, and adversarial tests.</x:v>
      </x:c>
      <x:c r="C11" s="77" t="str">
        <x:v>Verification</x:v>
      </x:c>
      <x:c r="D11" s="77" t="str">
        <x:v>One named artifact, action, test, verdict, or approval tied to a task receipt</x:v>
      </x:c>
    </x:row>
    <x:row r="12">
      <x:c r="A12" s="141" t="str">
        <x:v>RELEASE_ENGINEER</x:v>
      </x:c>
      <x:c r="B12" s="141" t="str">
        <x:v>Converges artifacts, versions, hashes, tags, and release immutability.</x:v>
      </x:c>
      <x:c r="C12" s="141" t="str">
        <x:v>Release</x:v>
      </x:c>
      <x:c r="D12" s="141" t="str">
        <x:v>One named artifact, action, test, verdict, or approval tied to a task receipt</x:v>
      </x:c>
    </x:row>
    <x:row r="13">
      <x:c r="A13" s="77" t="str">
        <x:v>LOCAL_WINDOWS_OPERATOR</x:v>
      </x:c>
      <x:c r="B13" s="77" t="str">
        <x:v>Runs PowerShell and Windows-local workflows.</x:v>
      </x:c>
      <x:c r="C13" s="77" t="str">
        <x:v>Windows</x:v>
      </x:c>
      <x:c r="D13" s="77" t="str">
        <x:v>One named artifact, action, test, verdict, or approval tied to a task receipt</x:v>
      </x:c>
    </x:row>
    <x:row r="14">
      <x:c r="A14" s="141" t="str">
        <x:v>WSL_RUNTIME_OPERATOR</x:v>
      </x:c>
      <x:c r="B14" s="141" t="str">
        <x:v>Runs Linux/WSL workflows and cross-runtime checks.</x:v>
      </x:c>
      <x:c r="C14" s="141" t="str">
        <x:v>WSL/Linux</x:v>
      </x:c>
      <x:c r="D14" s="141" t="str">
        <x:v>One named artifact, action, test, verdict, or approval tied to a task receipt</x:v>
      </x:c>
    </x:row>
    <x:row r="15">
      <x:c r="A15" s="77" t="str">
        <x:v>CONTINUITY_ENGINEER</x:v>
      </x:c>
      <x:c r="B15" s="77" t="str">
        <x:v>Designs checkpoint, failover, replay, and resume behavior.</x:v>
      </x:c>
      <x:c r="C15" s="77" t="str">
        <x:v>Runtime continuity</x:v>
      </x:c>
      <x:c r="D15" s="77" t="str">
        <x:v>One named artifact, action, test, verdict, or approval tied to a task receipt</x:v>
      </x:c>
    </x:row>
    <x:row r="16">
      <x:c r="A16" s="141" t="str">
        <x:v>SPREADSHEET_ARCHITECT</x:v>
      </x:c>
      <x:c r="B16" s="141" t="str">
        <x:v>Creates and audits workbooks, formulas, trackers, and dashboards.</x:v>
      </x:c>
      <x:c r="C16" s="141" t="str">
        <x:v>Spreadsheets</x:v>
      </x:c>
      <x:c r="D16" s="141" t="str">
        <x:v>One named artifact, action, test, verdict, or approval tied to a task receipt</x:v>
      </x:c>
    </x:row>
    <x:row r="17">
      <x:c r="A17" s="77" t="str">
        <x:v>DATA_ANALYST</x:v>
      </x:c>
      <x:c r="B17" s="77" t="str">
        <x:v>Cleans, reconciles, analyzes, and explains structured data.</x:v>
      </x:c>
      <x:c r="C17" s="77" t="str">
        <x:v>Data</x:v>
      </x:c>
      <x:c r="D17" s="77" t="str">
        <x:v>One named artifact, action, test, verdict, or approval tied to a task receipt</x:v>
      </x:c>
    </x:row>
    <x:row r="18">
      <x:c r="A18" s="141" t="str">
        <x:v>DATA_ENGINEER</x:v>
      </x:c>
      <x:c r="B18" s="141" t="str">
        <x:v>Builds repeatable transformations, schemas, and data pipelines.</x:v>
      </x:c>
      <x:c r="C18" s="141" t="str">
        <x:v>Data/code</x:v>
      </x:c>
      <x:c r="D18" s="141" t="str">
        <x:v>One named artifact, action, test, verdict, or approval tied to a task receipt</x:v>
      </x:c>
    </x:row>
    <x:row r="19">
      <x:c r="A19" s="77" t="str">
        <x:v>DOCUMENT_PRODUCER</x:v>
      </x:c>
      <x:c r="B19" s="77" t="str">
        <x:v>Creates polished documents, briefs, quickstarts, and reports.</x:v>
      </x:c>
      <x:c r="C19" s="77" t="str">
        <x:v>Documents</x:v>
      </x:c>
      <x:c r="D19" s="77" t="str">
        <x:v>One named artifact, action, test, verdict, or approval tied to a task receipt</x:v>
      </x:c>
    </x:row>
    <x:row r="20">
      <x:c r="A20" s="141" t="str">
        <x:v>TECHNICAL_EDITOR</x:v>
      </x:c>
      <x:c r="B20" s="141" t="str">
        <x:v>Checks accuracy, coherence, commands, and reproducibility.</x:v>
      </x:c>
      <x:c r="C20" s="141" t="str">
        <x:v>Docs/QA</x:v>
      </x:c>
      <x:c r="D20" s="141" t="str">
        <x:v>One named artifact, action, test, verdict, or approval tied to a task receipt</x:v>
      </x:c>
    </x:row>
    <x:row r="21">
      <x:c r="A21" s="77" t="str">
        <x:v>PRESENTATION_DESIGNER</x:v>
      </x:c>
      <x:c r="B21" s="77" t="str">
        <x:v>Builds editable, judge-ready decks and visual narratives.</x:v>
      </x:c>
      <x:c r="C21" s="77" t="str">
        <x:v>Slides</x:v>
      </x:c>
      <x:c r="D21" s="77" t="str">
        <x:v>One named artifact, action, test, verdict, or approval tied to a task receipt</x:v>
      </x:c>
    </x:row>
    <x:row r="22">
      <x:c r="A22" s="141" t="str">
        <x:v>NARRATIVE_ARCHITECT</x:v>
      </x:c>
      <x:c r="B22" s="141" t="str">
        <x:v>Maps evidence into a concise product and competition story.</x:v>
      </x:c>
      <x:c r="C22" s="141" t="str">
        <x:v>Story</x:v>
      </x:c>
      <x:c r="D22" s="141" t="str">
        <x:v>One named artifact, action, test, verdict, or approval tied to a task receipt</x:v>
      </x:c>
    </x:row>
    <x:row r="23">
      <x:c r="A23" s="77" t="str">
        <x:v>CONNECTOR_OPERATOR</x:v>
      </x:c>
      <x:c r="B23" s="77" t="str">
        <x:v>Uses connected apps and records external side effects.</x:v>
      </x:c>
      <x:c r="C23" s="77" t="str">
        <x:v>Apps/connectors</x:v>
      </x:c>
      <x:c r="D23" s="77" t="str">
        <x:v>One named artifact, action, test, verdict, or approval tied to a task receipt</x:v>
      </x:c>
    </x:row>
    <x:row r="24">
      <x:c r="A24" s="141" t="str">
        <x:v>SERVERFORGE_STEWARD</x:v>
      </x:c>
      <x:c r="B24" s="141" t="str">
        <x:v>Publishes sanitized structured events to Discord and reconciles IDs.</x:v>
      </x:c>
      <x:c r="C24" s="141" t="str">
        <x:v>Discord</x:v>
      </x:c>
      <x:c r="D24" s="141" t="str">
        <x:v>One named artifact, action, test, verdict, or approval tied to a task receipt</x:v>
      </x:c>
    </x:row>
    <x:row r="25">
      <x:c r="A25" s="77" t="str">
        <x:v>MEDUSA_SECURITY_AUDITOR</x:v>
      </x:c>
      <x:c r="B25" s="77" t="str">
        <x:v>Finds secrets, unsafe disclosures, private paths, and overclaims.</x:v>
      </x:c>
      <x:c r="C25" s="77" t="str">
        <x:v>Security</x:v>
      </x:c>
      <x:c r="D25" s="77" t="str">
        <x:v>One named artifact, action, test, verdict, or approval tied to a task receipt</x:v>
      </x:c>
    </x:row>
    <x:row r="26">
      <x:c r="A26" s="141" t="str">
        <x:v>RED_TEAM_CHALLENGER</x:v>
      </x:c>
      <x:c r="B26" s="141" t="str">
        <x:v>Attempts to falsify claims and force evidence-backed repair.</x:v>
      </x:c>
      <x:c r="C26" s="141" t="str">
        <x:v>Adversarial QA</x:v>
      </x:c>
      <x:c r="D26" s="141" t="str">
        <x:v>One named artifact, action, test, verdict, or approval tied to a task receipt</x:v>
      </x:c>
    </x:row>
    <x:row r="27">
      <x:c r="A27" s="77" t="str">
        <x:v>SECA_PROMOTION_JUDGE</x:v>
      </x:c>
      <x:c r="B27" s="77" t="str">
        <x:v>Allows promotion only when all acceptance evidence exists.</x:v>
      </x:c>
      <x:c r="C27" s="77" t="str">
        <x:v>Promotion</x:v>
      </x:c>
      <x:c r="D27" s="77" t="str">
        <x:v>One named artifact, action, test, verdict, or approval tied to a task receipt</x:v>
      </x:c>
    </x:row>
    <x:row r="28">
      <x:c r="A28" s="141" t="str">
        <x:v>THOTH_EVIDENCE_CLERK</x:v>
      </x:c>
      <x:c r="B28" s="141" t="str">
        <x:v>Maintains ledger, receipts, hashes, lineage, and blocker records.</x:v>
      </x:c>
      <x:c r="C28" s="141" t="str">
        <x:v>All proof tasks</x:v>
      </x:c>
      <x:c r="D28" s="141" t="str">
        <x:v>One named artifact, action, test, verdict, or approval tied to a task receipt</x:v>
      </x:c>
    </x:row>
    <x:row r="29">
      <x:c r="A29" s="77" t="str">
        <x:v>PROOF_MEDIA_PRODUCER</x:v>
      </x:c>
      <x:c r="B29" s="77" t="str">
        <x:v>Captures screenshots, video, demo outputs, and evidence references.</x:v>
      </x:c>
      <x:c r="C29" s="77" t="str">
        <x:v>Media</x:v>
      </x:c>
      <x:c r="D29" s="77" t="str">
        <x:v>One named artifact, action, test, verdict, or approval tied to a task receipt</x:v>
      </x:c>
    </x:row>
    <x:row r="30">
      <x:c r="A30" s="141" t="str">
        <x:v>DEMO_DIRECTOR</x:v>
      </x:c>
      <x:c r="B30" s="141" t="str">
        <x:v>Freezes and rehearses the golden path under time constraints.</x:v>
      </x:c>
      <x:c r="C30" s="141" t="str">
        <x:v>Demo</x:v>
      </x:c>
      <x:c r="D30" s="141" t="str">
        <x:v>One named artifact, action, test, verdict, or approval tied to a task receipt</x:v>
      </x:c>
    </x:row>
    <x:row r="31">
      <x:c r="A31" s="77" t="str">
        <x:v>COMPLIANCE_ANALYST</x:v>
      </x:c>
      <x:c r="B31" s="77" t="str">
        <x:v>Verifies current rules, licensing, eligibility, and required fields.</x:v>
      </x:c>
      <x:c r="C31" s="77" t="str">
        <x:v>Compliance</x:v>
      </x:c>
      <x:c r="D31" s="77" t="str">
        <x:v>One named artifact, action, test, verdict, or approval tied to a task receipt</x:v>
      </x:c>
    </x:row>
    <x:row r="32">
      <x:c r="A32" s="141" t="str">
        <x:v>SUBMISSION_STEWARD</x:v>
      </x:c>
      <x:c r="B32" s="141" t="str">
        <x:v>Performs dry run, submit, confirmation capture, and post-check.</x:v>
      </x:c>
      <x:c r="C32" s="141" t="str">
        <x:v>Submission</x:v>
      </x:c>
      <x:c r="D32" s="141" t="str">
        <x:v>One named artifact, action, test, verdict, or approval tied to a task receipt</x:v>
      </x:c>
    </x:row>
    <x:row r="33">
      <x:c r="A33" s="77" t="str">
        <x:v>COMMUNICATION_DRAFTER</x:v>
      </x:c>
      <x:c r="B33" s="77" t="str">
        <x:v>Creates stakeholder-ready messages and updates.</x:v>
      </x:c>
      <x:c r="C33" s="77" t="str">
        <x:v>Communications</x:v>
      </x:c>
      <x:c r="D33" s="77" t="str">
        <x:v>One named artifact, action, test, verdict, or approval tied to a task receipt</x:v>
      </x:c>
    </x:row>
    <x:row r="34">
      <x:c r="A34" s="141" t="str">
        <x:v>SCHEDULER</x:v>
      </x:c>
      <x:c r="B34" s="141" t="str">
        <x:v>Creates one-time and recurring task schedules.</x:v>
      </x:c>
      <x:c r="C34" s="141" t="str">
        <x:v>Scheduling</x:v>
      </x:c>
      <x:c r="D34" s="141" t="str">
        <x:v>One named artifact, action, test, verdict, or approval tied to a task receipt</x:v>
      </x:c>
    </x:row>
    <x:row r="35">
      <x:c r="A35" s="77" t="str">
        <x:v>WATCHKEEPER</x:v>
      </x:c>
      <x:c r="B35" s="77" t="str">
        <x:v>Monitors changing conditions and reports only meaningful changes.</x:v>
      </x:c>
      <x:c r="C35" s="77" t="str">
        <x:v>Monitoring</x:v>
      </x:c>
      <x:c r="D35" s="77" t="str">
        <x:v>One named artifact, action, test, verdict, or approval tied to a task receipt</x:v>
      </x:c>
    </x:row>
    <x:row r="36">
      <x:c r="A36" s="141" t="str">
        <x:v>INCIDENT_COMMANDER</x:v>
      </x:c>
      <x:c r="B36" s="141" t="str">
        <x:v>Coordinates containment, recovery, decision log, and next state.</x:v>
      </x:c>
      <x:c r="C36" s="141" t="str">
        <x:v>Incident</x:v>
      </x:c>
      <x:c r="D36" s="141" t="str">
        <x:v>One named artifact, action, test, verdict, or approval tied to a task receipt</x:v>
      </x:c>
    </x:row>
    <x:row r="37">
      <x:c r="A37" s="77" t="str">
        <x:v>RECOVERY_AGENT</x:v>
      </x:c>
      <x:c r="B37" s="77" t="str">
        <x:v>Tries alternate routes, rollback, restore, and artifact salvage.</x:v>
      </x:c>
      <x:c r="C37" s="77" t="str">
        <x:v>Failure recovery</x:v>
      </x:c>
      <x:c r="D37" s="77" t="str">
        <x:v>One named artifact, action, test, verdict, or approval tied to a task receipt</x:v>
      </x:c>
    </x:row>
    <x:row r="38">
      <x:c r="A38" s="141" t="str">
        <x:v>COST_CONTROLLER</x:v>
      </x:c>
      <x:c r="B38" s="141" t="str">
        <x:v>Tracks time, credits, token cost, and deadline pressure.</x:v>
      </x:c>
      <x:c r="C38" s="141" t="str">
        <x:v>Long-running work</x:v>
      </x:c>
      <x:c r="D38" s="141" t="str">
        <x:v>One named artifact, action, test, verdict, or approval tied to a task receipt</x:v>
      </x:c>
    </x:row>
    <x:row r="39">
      <x:c r="A39" t="str">
        <x:v>HUMAN_APPROVAL_GATE</x:v>
      </x:c>
      <x:c r="B39" t="str">
        <x:v>Approves credentials, publishing, submissions, deletion, and irreversible actions.</x:v>
      </x:c>
      <x:c r="C39" t="str">
        <x:v>A3 actions</x:v>
      </x:c>
      <x:c r="D39" t="str">
        <x:v>One named artifact, action, test, verdict, or approval tied to a task receipt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6f5adcdd27741d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30" hidden="0" customWidth="1"/>
    <x:col min="5" max="5" width="32" hidden="0" customWidth="1"/>
    <x:col min="6" max="6" width="30" hidden="0" customWidth="1"/>
  </x:cols>
  <x:sheetData>
    <x:row r="1" ht="30" customHeight="1">
      <x:c r="A1" s="111" t="str">
        <x:v>UNKNOWN TASK PROTOCOL | EDGE-CASE ABSORPTION LOOP</x:v>
      </x:c>
      <x:c r="B1" s="111"/>
      <x:c r="C1" s="111"/>
      <x:c r="D1" s="111"/>
      <x:c r="E1" s="111"/>
      <x:c r="F1" s="111"/>
    </x:row>
    <x:row r="3" ht="24" customHeight="1">
      <x:c r="A3" s="122" t="str">
        <x:v>Step</x:v>
      </x:c>
      <x:c r="B3" s="122" t="str">
        <x:v>Name</x:v>
      </x:c>
      <x:c r="C3" s="122" t="str">
        <x:v>Instruction</x:v>
      </x:c>
      <x:c r="D3" s="122" t="str">
        <x:v>Required Artifact</x:v>
      </x:c>
      <x:c r="E3" s="122" t="str">
        <x:v>Promotion Gate</x:v>
      </x:c>
      <x:c r="F3" s="122" t="str">
        <x:v>Failure Route</x:v>
      </x:c>
    </x:row>
    <x:row r="4">
      <x:c r="A4" s="145" t="str">
        <x:v>U0</x:v>
      </x:c>
      <x:c r="B4" s="145" t="str">
        <x:v>Capture</x:v>
      </x:c>
      <x:c r="C4" s="145" t="str">
        <x:v>Normalize the requested outcome, constraints, inputs, deadline, and prohibited actions.</x:v>
      </x:c>
      <x:c r="D4" s="145" t="str">
        <x:v>normalized_mission.json</x:v>
      </x:c>
      <x:c r="E4" s="145" t="str">
        <x:v>Observable evidence exists</x:v>
      </x:c>
      <x:c r="F4" s="145" t="str">
        <x:v>Continue to next protocol step</x:v>
      </x:c>
    </x:row>
    <x:row r="5">
      <x:c r="A5" s="77" t="str">
        <x:v>U1</x:v>
      </x:c>
      <x:c r="B5" s="77" t="str">
        <x:v>Census</x:v>
      </x:c>
      <x:c r="C5" s="77" t="str">
        <x:v>Inventory available files, tools, connectors, repositories, apps, credentials, and execution surfaces.</x:v>
      </x:c>
      <x:c r="D5" s="77" t="str">
        <x:v>capability_census.json</x:v>
      </x:c>
      <x:c r="E5" s="77" t="str">
        <x:v>Observable evidence exists</x:v>
      </x:c>
      <x:c r="F5" s="77" t="str">
        <x:v>Continue to next protocol step</x:v>
      </x:c>
    </x:row>
    <x:row r="6">
      <x:c r="A6" s="145" t="str">
        <x:v>U2</x:v>
      </x:c>
      <x:c r="B6" s="145" t="str">
        <x:v>Classify</x:v>
      </x:c>
      <x:c r="C6" s="145" t="str">
        <x:v>Score known archetypes. If no route reaches 0.75 confidence, mark UNKNOWN_EDGE_CASE.</x:v>
      </x:c>
      <x:c r="D6" s="145" t="str">
        <x:v>route_score.json</x:v>
      </x:c>
      <x:c r="E6" s="145" t="str">
        <x:v>Known route ≥ 0.75 or UNKNOWN_EDGE_CASE</x:v>
      </x:c>
      <x:c r="F6" s="145" t="str">
        <x:v>Continue to next protocol step</x:v>
      </x:c>
    </x:row>
    <x:row r="7">
      <x:c r="A7" s="77" t="str">
        <x:v>U3</x:v>
      </x:c>
      <x:c r="B7" s="77" t="str">
        <x:v>Bound</x:v>
      </x:c>
      <x:c r="C7" s="77" t="str">
        <x:v>Set approval class, blast radius, rollback plan, and smallest reversible experiment.</x:v>
      </x:c>
      <x:c r="D7" s="77" t="str">
        <x:v>experiment_plan.json</x:v>
      </x:c>
      <x:c r="E7" s="77" t="str">
        <x:v>Observable evidence exists</x:v>
      </x:c>
      <x:c r="F7" s="77" t="str">
        <x:v>Continue to next protocol step</x:v>
      </x:c>
    </x:row>
    <x:row r="8">
      <x:c r="A8" s="145" t="str">
        <x:v>U4</x:v>
      </x:c>
      <x:c r="B8" s="145" t="str">
        <x:v>Synthesize</x:v>
      </x:c>
      <x:c r="C8" s="145" t="str">
        <x:v>Create temporary X-role and X-task with owner, dependencies, proof, and stop condition.</x:v>
      </x:c>
      <x:c r="D8" s="145" t="str">
        <x:v>X-task queue record</x:v>
      </x:c>
      <x:c r="E8" s="145" t="str">
        <x:v>Observable evidence exists</x:v>
      </x:c>
      <x:c r="F8" s="145" t="str">
        <x:v>Continue to next protocol step</x:v>
      </x:c>
    </x:row>
    <x:row r="9">
      <x:c r="A9" s="77" t="str">
        <x:v>U5</x:v>
      </x:c>
      <x:c r="B9" s="77" t="str">
        <x:v>Experiment</x:v>
      </x:c>
      <x:c r="C9" s="77" t="str">
        <x:v>Execute the smallest useful slice in a sandbox or copied workspace.</x:v>
      </x:c>
      <x:c r="D9" s="77" t="str">
        <x:v>sandbox output</x:v>
      </x:c>
      <x:c r="E9" s="77" t="str">
        <x:v>Observable evidence exists</x:v>
      </x:c>
      <x:c r="F9" s="77" t="str">
        <x:v>Continue to next protocol step</x:v>
      </x:c>
    </x:row>
    <x:row r="10">
      <x:c r="A10" s="145" t="str">
        <x:v>U6</x:v>
      </x:c>
      <x:c r="B10" s="145" t="str">
        <x:v>Verify</x:v>
      </x:c>
      <x:c r="C10" s="145" t="str">
        <x:v>Run direct and reverse checks; reject unsupported success.</x:v>
      </x:c>
      <x:c r="D10" s="145" t="str">
        <x:v>verification receipt</x:v>
      </x:c>
      <x:c r="E10" s="145" t="str">
        <x:v>Observable evidence exists</x:v>
      </x:c>
      <x:c r="F10" s="145" t="str">
        <x:v>Continue to next protocol step</x:v>
      </x:c>
    </x:row>
    <x:row r="11">
      <x:c r="A11" s="77" t="str">
        <x:v>U7</x:v>
      </x:c>
      <x:c r="B11" s="77" t="str">
        <x:v>Promote</x:v>
      </x:c>
      <x:c r="C11" s="77" t="str">
        <x:v>Promote, repair, reroute, or rollback based on evidence.</x:v>
      </x:c>
      <x:c r="D11" s="77" t="str">
        <x:v>promotion/rollback receipt</x:v>
      </x:c>
      <x:c r="E11" s="77" t="str">
        <x:v>Promote only on passed proof</x:v>
      </x:c>
      <x:c r="F11" s="77" t="str">
        <x:v>Repair, reroute, or rollback</x:v>
      </x:c>
    </x:row>
    <x:row r="12">
      <x:c r="A12" t="str">
        <x:v>U8</x:v>
      </x:c>
      <x:c r="B12" t="str">
        <x:v>Register</x:v>
      </x:c>
      <x:c r="C12" t="str">
        <x:v>Add the successful route to the archetype/role registry and emit a capability genome candidate.</x:v>
      </x:c>
      <x:c r="D12" t="str">
        <x:v>archetype or genome candidate</x:v>
      </x:c>
      <x:c r="E12" t="str">
        <x:v>Observable evidence exists</x:v>
      </x:c>
      <x:c r="F12" t="str">
        <x:v>Continue to next protocol step</x:v>
      </x:c>
    </x:row>
    <x:row r="15" ht="24" customHeight="1">
      <x:c r="A15" s="138" t="str">
        <x:v>Approval Class</x:v>
      </x:c>
      <x:c r="B15" s="138" t="str">
        <x:v>Meaning</x:v>
      </x:c>
      <x:c r="C15" s="138" t="str">
        <x:v>Execution Rule</x:v>
      </x:c>
    </x:row>
    <x:row r="16">
      <x:c r="A16" s="16" t="str">
        <x:v>A0</x:v>
      </x:c>
      <x:c r="B16" s="16" t="str">
        <x:v>Read-only inspection, analysis, and planning</x:v>
      </x:c>
      <x:c r="C16" s="16" t="str">
        <x:v>Proceed automatically</x:v>
      </x:c>
    </x:row>
    <x:row r="17">
      <x:c r="A17" s="16" t="str">
        <x:v>A1</x:v>
      </x:c>
      <x:c r="B17" s="16" t="str">
        <x:v>Reversible edits inside approved workspace</x:v>
      </x:c>
      <x:c r="C17" s="16" t="str">
        <x:v>Proceed; snapshot first</x:v>
      </x:c>
    </x:row>
    <x:row r="18">
      <x:c r="A18" s="16" t="str">
        <x:v>A2</x:v>
      </x:c>
      <x:c r="B18" s="16" t="str">
        <x:v>External side effects, remote pushes, messages, connector writes</x:v>
      </x:c>
      <x:c r="C18" s="16" t="str">
        <x:v>Proceed only when task explicitly authorizes the action; record receipt</x:v>
      </x:c>
    </x:row>
    <x:row r="19">
      <x:c r="A19" s="16" t="str">
        <x:v>A3</x:v>
      </x:c>
      <x:c r="B19" s="16" t="str">
        <x:v>Credentials, publishing, contest submission, deletion, payments, legal acceptance, destructive operations</x:v>
      </x:c>
      <x:c r="C19" s="16" t="str">
        <x:v>Require explicit human approval immediately before action</x:v>
      </x:c>
    </x:row>
    <x:row r="21" ht="24" customHeight="1">
      <x:c r="A21" s="134" t="str">
        <x:v>Proof Class</x:v>
      </x:c>
      <x:c r="B21" s="134" t="str">
        <x:v>Meaning</x:v>
      </x:c>
      <x:c r="C21" s="134" t="str">
        <x:v>Minimum Evidence</x:v>
      </x:c>
    </x:row>
    <x:row r="22">
      <x:c r="A22" s="16" t="str">
        <x:v>E0</x:v>
      </x:c>
      <x:c r="B22" s="16" t="str">
        <x:v>Observation</x:v>
      </x:c>
      <x:c r="C22" s="16" t="str">
        <x:v>State description with source/path/time</x:v>
      </x:c>
    </x:row>
    <x:row r="23">
      <x:c r="A23" s="16" t="str">
        <x:v>E1</x:v>
      </x:c>
      <x:c r="B23" s="16" t="str">
        <x:v>Artifact</x:v>
      </x:c>
      <x:c r="C23" s="16" t="str">
        <x:v>Created or modified file with path and checksum</x:v>
      </x:c>
    </x:row>
    <x:row r="24">
      <x:c r="A24" s="16" t="str">
        <x:v>E2</x:v>
      </x:c>
      <x:c r="B24" s="16" t="str">
        <x:v>Execution log</x:v>
      </x:c>
      <x:c r="C24" s="16" t="str">
        <x:v>Commands/actions, outputs, timestamps, exit codes</x:v>
      </x:c>
    </x:row>
    <x:row r="25">
      <x:c r="A25" s="16" t="str">
        <x:v>E3</x:v>
      </x:c>
      <x:c r="B25" s="16" t="str">
        <x:v>Verification</x:v>
      </x:c>
      <x:c r="C25" s="16" t="str">
        <x:v>Tests, render inspection, schema validation, or reverse check</x:v>
      </x:c>
    </x:row>
    <x:row r="26">
      <x:c r="A26" s="16" t="str">
        <x:v>E4</x:v>
      </x:c>
      <x:c r="B26" s="16" t="str">
        <x:v>Receipt</x:v>
      </x:c>
      <x:c r="C26" s="16" t="str">
        <x:v>Machine-readable receipt linking inputs, outputs, hashes, and verdict</x:v>
      </x:c>
    </x:row>
    <x:row r="27">
      <x:c r="A27" s="16" t="str">
        <x:v>E5</x:v>
      </x:c>
      <x:c r="B27" s="16" t="str">
        <x:v>External confirmation</x:v>
      </x:c>
      <x:c r="C27" s="16" t="str">
        <x:v>Remote URL/state, submission ID, message ID, CI result, or human signoff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54" hidden="0" customWidth="1"/>
    <x:col min="4" max="4" width="40" hidden="0" customWidth="1"/>
    <x:col min="5" max="5" width="14" hidden="0" customWidth="1"/>
    <x:col min="6" max="6" width="45" hidden="0" customWidth="1"/>
  </x:cols>
  <x:sheetData>
    <x:row r="1" ht="30" customHeight="1">
      <x:c r="A1" s="111" t="str">
        <x:v>ADAPTIVE FRONTIER TEST | UNEXPECTED WORK TRIAL DECK</x:v>
      </x:c>
      <x:c r="B1" s="111"/>
      <x:c r="C1" s="111"/>
      <x:c r="D1" s="111"/>
      <x:c r="E1" s="111"/>
      <x:c r="F1" s="111"/>
    </x:row>
    <x:row r="3" ht="24" customHeight="1">
      <x:c r="A3" s="138" t="str">
        <x:v>Trial ID</x:v>
      </x:c>
      <x:c r="B3" s="138" t="str">
        <x:v>Condition</x:v>
      </x:c>
      <x:c r="C3" s="138" t="str">
        <x:v>Expected Behavior</x:v>
      </x:c>
      <x:c r="D3" s="138" t="str">
        <x:v>Required Proof</x:v>
      </x:c>
      <x:c r="E3" s="138" t="str">
        <x:v>Status</x:v>
      </x:c>
      <x:c r="F3" s="138" t="str">
        <x:v>Observed Result</x:v>
      </x:c>
    </x:row>
    <x:row r="4">
      <x:c r="A4" s="141" t="str">
        <x:v>EC-001</x:v>
      </x:c>
      <x:c r="B4" s="141" t="str">
        <x:v>Novel task with no matching archetype</x:v>
      </x:c>
      <x:c r="C4" s="141" t="str">
        <x:v>Invoke Unknown Task Protocol; synthesize temporary role; add X-task</x:v>
      </x:c>
      <x:c r="D4" s="141" t="str">
        <x:v>Dynamic route + proof criteria + receipt</x:v>
      </x:c>
      <x:c r="E4" s="141" t="str">
        <x:v>Not Run</x:v>
      </x:c>
      <x:c r="F4" s="141" t="str"/>
    </x:row>
    <x:row r="5">
      <x:c r="A5" s="77" t="str">
        <x:v>EC-002</x:v>
      </x:c>
      <x:c r="B5" s="77" t="str">
        <x:v>Input file is corrupted or partially readable</x:v>
      </x:c>
      <x:c r="C5" s="77" t="str">
        <x:v>Preserve original; inspect alternate representations; extract recoverable content; record loss</x:v>
      </x:c>
      <x:c r="D5" s="77" t="str">
        <x:v>Recovery log + recovered artifact + limitation</x:v>
      </x:c>
      <x:c r="E5" s="77" t="str">
        <x:v>Not Run</x:v>
      </x:c>
      <x:c r="F5" s="77" t="str"/>
    </x:row>
    <x:row r="6">
      <x:c r="A6" s="141" t="str">
        <x:v>EC-003</x:v>
      </x:c>
      <x:c r="B6" s="141" t="str">
        <x:v>User changes goal mid-execution</x:v>
      </x:c>
      <x:c r="C6" s="141" t="str">
        <x:v>Checkpoint current state; diff old/new objective; re-plan only affected packets</x:v>
      </x:c>
      <x:c r="D6" s="141" t="str">
        <x:v>Checkpoint + change receipt + updated queue</x:v>
      </x:c>
      <x:c r="E6" s="141" t="str">
        <x:v>Not Run</x:v>
      </x:c>
      <x:c r="F6" s="141" t="str"/>
    </x:row>
    <x:row r="7">
      <x:c r="A7" s="77" t="str">
        <x:v>EC-004</x:v>
      </x:c>
      <x:c r="B7" s="77" t="str">
        <x:v>Required tool is unavailable</x:v>
      </x:c>
      <x:c r="C7" s="77" t="str">
        <x:v>Run capability census; choose fallback surface/tool; block only irreducible remainder</x:v>
      </x:c>
      <x:c r="D7" s="77" t="str">
        <x:v>Capability matrix + fallback result or exact blocker</x:v>
      </x:c>
      <x:c r="E7" s="77" t="str">
        <x:v>Not Run</x:v>
      </x:c>
      <x:c r="F7" s="77" t="str"/>
    </x:row>
    <x:row r="8">
      <x:c r="A8" s="141" t="str">
        <x:v>EC-005</x:v>
      </x:c>
      <x:c r="B8" s="141" t="str">
        <x:v>Task crosses Work and Codex</x:v>
      </x:c>
      <x:c r="C8" s="141" t="str">
        <x:v>Create explicit handoff artifact with input/output contract and hashes</x:v>
      </x:c>
      <x:c r="D8" s="141" t="str">
        <x:v>Handoff receipt + both surface outputs</x:v>
      </x:c>
      <x:c r="E8" s="141" t="str">
        <x:v>Not Run</x:v>
      </x:c>
      <x:c r="F8" s="141" t="str"/>
    </x:row>
    <x:row r="9">
      <x:c r="A9" s="77" t="str">
        <x:v>EC-006</x:v>
      </x:c>
      <x:c r="B9" s="77" t="str">
        <x:v>Credential is missing</x:v>
      </x:c>
      <x:c r="C9" s="77" t="str">
        <x:v>Continue independent work; generate credential-ready stub; record approval gate</x:v>
      </x:c>
      <x:c r="D9" s="77" t="str">
        <x:v>Blocked External state + exact unblock instruction</x:v>
      </x:c>
      <x:c r="E9" s="77" t="str">
        <x:v>Not Run</x:v>
      </x:c>
      <x:c r="F9" s="77" t="str"/>
    </x:row>
    <x:row r="10">
      <x:c r="A10" s="141" t="str">
        <x:v>EC-007</x:v>
      </x:c>
      <x:c r="B10" s="141" t="str">
        <x:v>Task implies irreversible external action</x:v>
      </x:c>
      <x:c r="C10" s="141" t="str">
        <x:v>Prepare preview/dry run; stop at A3 approval boundary</x:v>
      </x:c>
      <x:c r="D10" s="141" t="str">
        <x:v>Dry-run artifact + approval request</x:v>
      </x:c>
      <x:c r="E10" s="141" t="str">
        <x:v>Not Run</x:v>
      </x:c>
      <x:c r="F10" s="141" t="str"/>
    </x:row>
    <x:row r="11">
      <x:c r="A11" s="77" t="str">
        <x:v>EC-008</x:v>
      </x:c>
      <x:c r="B11" s="77" t="str">
        <x:v>Conflicting source files disagree</x:v>
      </x:c>
      <x:c r="C11" s="77" t="str">
        <x:v>Create contradiction register; rank source authority; request or infer with label</x:v>
      </x:c>
      <x:c r="D11" s="77" t="str">
        <x:v>Contradiction matrix + chosen truth basis</x:v>
      </x:c>
      <x:c r="E11" s="77" t="str">
        <x:v>Not Run</x:v>
      </x:c>
      <x:c r="F11" s="77" t="str"/>
    </x:row>
    <x:row r="12">
      <x:c r="A12" s="141" t="str">
        <x:v>EC-009</x:v>
      </x:c>
      <x:c r="B12" s="141" t="str">
        <x:v>Fresh web fact is required</x:v>
      </x:c>
      <x:c r="C12" s="141" t="str">
        <x:v>Research current authoritative sources and date-stamp evidence</x:v>
      </x:c>
      <x:c r="D12" s="141" t="str">
        <x:v>Citations + captured date + confidence</x:v>
      </x:c>
      <x:c r="E12" s="141" t="str">
        <x:v>Not Run</x:v>
      </x:c>
      <x:c r="F12" s="141" t="str"/>
    </x:row>
    <x:row r="13">
      <x:c r="A13" s="77" t="str">
        <x:v>EC-010</x:v>
      </x:c>
      <x:c r="B13" s="77" t="str">
        <x:v>Unexpected binary or unknown file type</x:v>
      </x:c>
      <x:c r="C13" s="77" t="str">
        <x:v>Identify format; materialize safely; use native parser or visual inspection</x:v>
      </x:c>
      <x:c r="D13" s="77" t="str">
        <x:v>Format verdict + extracted content + checksum</x:v>
      </x:c>
      <x:c r="E13" s="77" t="str">
        <x:v>Not Run</x:v>
      </x:c>
      <x:c r="F13" s="77" t="str"/>
    </x:row>
    <x:row r="14">
      <x:c r="A14" s="141" t="str">
        <x:v>EC-011</x:v>
      </x:c>
      <x:c r="B14" s="141" t="str">
        <x:v>Spreadsheet has hidden formula errors</x:v>
      </x:c>
      <x:c r="C14" s="141" t="str">
        <x:v>Scan formulas, inspect precedents, recompute, and render key ranges</x:v>
      </x:c>
      <x:c r="D14" s="141" t="str">
        <x:v>Formula audit + corrected workbook + preview</x:v>
      </x:c>
      <x:c r="E14" s="141" t="str">
        <x:v>Not Run</x:v>
      </x:c>
      <x:c r="F14" s="141" t="str"/>
    </x:row>
    <x:row r="15">
      <x:c r="A15" s="77" t="str">
        <x:v>EC-012</x:v>
      </x:c>
      <x:c r="B15" s="77" t="str">
        <x:v>Repository has dirty or divergent history</x:v>
      </x:c>
      <x:c r="C15" s="77" t="str">
        <x:v>Snapshot, create recovery branch/tag, compare, reconcile non-destructively</x:v>
      </x:c>
      <x:c r="D15" s="77" t="str">
        <x:v>Git evidence + protected lineage + tests</x:v>
      </x:c>
      <x:c r="E15" s="77" t="str">
        <x:v>Not Run</x:v>
      </x:c>
      <x:c r="F15" s="77" t="str"/>
    </x:row>
    <x:row r="16">
      <x:c r="A16" s="141" t="str">
        <x:v>EC-013</x:v>
      </x:c>
      <x:c r="B16" s="141" t="str">
        <x:v>Long task exceeds one context window</x:v>
      </x:c>
      <x:c r="C16" s="141" t="str">
        <x:v>Checkpoint every proof packet; maintain state.json and ledger.jsonl</x:v>
      </x:c>
      <x:c r="D16" s="141" t="str">
        <x:v>Resume test + no duplicated side effect</x:v>
      </x:c>
      <x:c r="E16" s="141" t="str">
        <x:v>Not Run</x:v>
      </x:c>
      <x:c r="F16" s="141" t="str"/>
    </x:row>
    <x:row r="17">
      <x:c r="A17" s="77" t="str">
        <x:v>EC-014</x:v>
      </x:c>
      <x:c r="B17" s="77" t="str">
        <x:v>Parallel agents produce conflicting outputs</x:v>
      </x:c>
      <x:c r="C17" s="77" t="str">
        <x:v>Use deterministic merge criteria and SECA adjudication</x:v>
      </x:c>
      <x:c r="D17" s="77" t="str">
        <x:v>Comparison report + selected output + rejected evidence</x:v>
      </x:c>
      <x:c r="E17" s="77" t="str">
        <x:v>Not Run</x:v>
      </x:c>
      <x:c r="F17" s="77" t="str"/>
    </x:row>
    <x:row r="18">
      <x:c r="A18" s="141" t="str">
        <x:v>EC-015</x:v>
      </x:c>
      <x:c r="B18" s="141" t="str">
        <x:v>A test passes but proof is weak</x:v>
      </x:c>
      <x:c r="C18" s="141" t="str">
        <x:v>Run reverse verification and tamper/replay challenge</x:v>
      </x:c>
      <x:c r="D18" s="141" t="str">
        <x:v>Negative test + strengthened receipt</x:v>
      </x:c>
      <x:c r="E18" s="141" t="str">
        <x:v>Not Run</x:v>
      </x:c>
      <x:c r="F18" s="141" t="str"/>
    </x:row>
    <x:row r="19">
      <x:c r="A19" s="77" t="str">
        <x:v>EC-016</x:v>
      </x:c>
      <x:c r="B19" s="77" t="str">
        <x:v>A task looks complete but acceptance is ambiguous</x:v>
      </x:c>
      <x:c r="C19" s="77" t="str">
        <x:v>Rewrite acceptance as observable pass/fail criteria before promotion</x:v>
      </x:c>
      <x:c r="D19" s="77" t="str">
        <x:v>Updated criteria + test result</x:v>
      </x:c>
      <x:c r="E19" s="77" t="str">
        <x:v>Not Run</x:v>
      </x:c>
      <x:c r="F19" s="77" t="str"/>
    </x:row>
    <x:row r="20">
      <x:c r="A20" s="141" t="str">
        <x:v>EC-017</x:v>
      </x:c>
      <x:c r="B20" s="141" t="str">
        <x:v>Sensitive data appears in logs or media</x:v>
      </x:c>
      <x:c r="C20" s="141" t="str">
        <x:v>Quarantine, redact, rotate if needed, rerun Medusa scan</x:v>
      </x:c>
      <x:c r="D20" s="141" t="str">
        <x:v>Scrub report + clean artifact hash</x:v>
      </x:c>
      <x:c r="E20" s="141" t="str">
        <x:v>Not Run</x:v>
      </x:c>
      <x:c r="F20" s="141" t="str"/>
    </x:row>
    <x:row r="21">
      <x:c r="A21" s="77" t="str">
        <x:v>EC-018</x:v>
      </x:c>
      <x:c r="B21" s="77" t="str">
        <x:v>Submission portal or external service fails</x:v>
      </x:c>
      <x:c r="C21" s="77" t="str">
        <x:v>Capture timestamped failure; retry bounded times; preserve alternate submission package</x:v>
      </x:c>
      <x:c r="D21" s="77" t="str">
        <x:v>Failure evidence + retry log + contingency packet</x:v>
      </x:c>
      <x:c r="E21" s="77" t="str">
        <x:v>Not Run</x:v>
      </x:c>
      <x:c r="F21" s="77" t="str"/>
    </x:row>
    <x:row r="22">
      <x:c r="A22" s="141" t="str">
        <x:v>EC-019</x:v>
      </x:c>
      <x:c r="B22" s="141" t="str">
        <x:v>Generated artifact has visual defects</x:v>
      </x:c>
      <x:c r="C22" s="141" t="str">
        <x:v>Render, inspect every page/sheet/slide, repair, rerender</x:v>
      </x:c>
      <x:c r="D22" s="141" t="str">
        <x:v>Visual QA record + final artifact</x:v>
      </x:c>
      <x:c r="E22" s="141" t="str">
        <x:v>Not Run</x:v>
      </x:c>
      <x:c r="F22" s="141" t="str"/>
    </x:row>
    <x:row r="23">
      <x:c r="A23" s="77" t="str">
        <x:v>EC-020</x:v>
      </x:c>
      <x:c r="B23" s="77" t="str">
        <x:v>Task needs a new reusable capability</x:v>
      </x:c>
      <x:c r="C23" s="77" t="str">
        <x:v>Extract motif, define inclusion/exclusion rules, register genome, prove on second target</x:v>
      </x:c>
      <x:c r="D23" s="77" t="str">
        <x:v>Genome + match report + fresh proof</x:v>
      </x:c>
      <x:c r="E23" s="77" t="str">
        <x:v>Not Run</x:v>
      </x:c>
      <x:c r="F23" s="77" t="str"/>
    </x:row>
    <x:row r="24">
      <x:c r="A24" s="141" t="str">
        <x:v>EC-021</x:v>
      </x:c>
      <x:c r="B24" s="141" t="str">
        <x:v>User asks for a task not possible in current surface</x:v>
      </x:c>
      <x:c r="C24" s="141" t="str">
        <x:v>Produce exact handoff and launch instructions rather than pretending execution</x:v>
      </x:c>
      <x:c r="D24" s="141" t="str">
        <x:v>Handoff packet + capability boundary</x:v>
      </x:c>
      <x:c r="E24" s="141" t="str">
        <x:v>Not Run</x:v>
      </x:c>
      <x:c r="F24" s="141" t="str"/>
    </x:row>
    <x:row r="25">
      <x:c r="A25" s="77" t="str">
        <x:v>EC-022</x:v>
      </x:c>
      <x:c r="B25" s="77" t="str">
        <x:v>External result changes after completion</x:v>
      </x:c>
      <x:c r="C25" s="77" t="str">
        <x:v>Create monitor/scheduled task and update only on meaningful change</x:v>
      </x:c>
      <x:c r="D25" s="77" t="str">
        <x:v>Schedule + trigger + delta report</x:v>
      </x:c>
      <x:c r="E25" s="77" t="str">
        <x:v>Not Run</x:v>
      </x:c>
      <x:c r="F25" s="77" t="str"/>
    </x:row>
    <x:row r="26">
      <x:c r="A26" s="141" t="str">
        <x:v>EC-023</x:v>
      </x:c>
      <x:c r="B26" s="141" t="str">
        <x:v>Prompt contains multiple unrelated outputs</x:v>
      </x:c>
      <x:c r="C26" s="141" t="str">
        <x:v>Split into dependency-aware packets, preserve one mission ledger</x:v>
      </x:c>
      <x:c r="D26" s="141" t="str">
        <x:v>Packet map + outputs + consolidated receipt</x:v>
      </x:c>
      <x:c r="E26" s="141" t="str">
        <x:v>Not Run</x:v>
      </x:c>
      <x:c r="F26" s="141" t="str"/>
    </x:row>
    <x:row r="27">
      <x:c r="A27" t="str">
        <x:v>EC-024</x:v>
      </x:c>
      <x:c r="B27" t="str">
        <x:v>Agent becomes stuck repeating one strategy</x:v>
      </x:c>
      <x:c r="C27" t="str">
        <x:v>After two failed attempts, change tool/role/route; escalate with evidence</x:v>
      </x:c>
      <x:c r="D27" t="str">
        <x:v>Retry ledger + alternate strategy verdict</x:v>
      </x:c>
      <x:c r="E27" t="str">
        <x:v>Not Run</x:v>
      </x:c>
      <x:c r="F27" t="str"/>
    </x:row>
  </x:sheetData>
  <x:mergeCells>
    <x:mergeCell ref="A1:F1"/>
  </x:mergeCells>
  <x:conditionalFormatting sqref="E4:E26">
    <x:cfRule type="expression" dxfId="15" priority="1">
      <x:formula>E4="Passed"</x:formula>
    </x:cfRule>
    <x:cfRule type="expression" dxfId="16" priority="2">
      <x:formula>E4="Failed"</x:formula>
    </x:cfRule>
    <x:cfRule type="expression" dxfId="17" priority="3">
      <x:formula>E4="Blocked"</x:formula>
    </x:cfRule>
  </x:conditionalFormatting>
  <x:dataValidations count="1">
    <x:dataValidation type="list" sqref="E4:E26">
      <x:formula1>"Not Run,In Progress,Passed,Failed,Blocked"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dbbcaa8b6b409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8" hidden="0" customWidth="1"/>
    <x:col min="4" max="4" width="18" hidden="0" customWidth="1"/>
    <x:col min="5" max="5" width="52" hidden="0" customWidth="1"/>
  </x:cols>
  <x:sheetData>
    <x:row r="1" ht="30" customHeight="1">
      <x:c r="A1" s="111" t="str">
        <x:v>PROOF RECEIPT SCHEMA | ONE TASK, ONE ATTRIBUTABLE VERDICT</x:v>
      </x:c>
      <x:c r="B1" s="111"/>
      <x:c r="C1" s="111"/>
      <x:c r="D1" s="111"/>
      <x:c r="E1" s="111"/>
      <x:c r="F1" s="111"/>
    </x:row>
    <x:row r="3" ht="24" customHeight="1">
      <x:c r="A3" s="134" t="str">
        <x:v>Field</x:v>
      </x:c>
      <x:c r="B3" s="134" t="str">
        <x:v>Type</x:v>
      </x:c>
      <x:c r="C3" s="134" t="str">
        <x:v>Meaning</x:v>
      </x:c>
      <x:c r="D3" s="134" t="str">
        <x:v>Required</x:v>
      </x:c>
      <x:c r="E3" s="134" t="str">
        <x:v>Example</x:v>
      </x:c>
    </x:row>
    <x:row r="4">
      <x:c r="A4" s="145" t="str">
        <x:v>receipt_id</x:v>
      </x:c>
      <x:c r="B4" s="145" t="str">
        <x:v>string</x:v>
      </x:c>
      <x:c r="C4" s="145" t="str">
        <x:v>Unique receipt ID</x:v>
      </x:c>
      <x:c r="D4" s="145" t="str">
        <x:v>Yes</x:v>
      </x:c>
      <x:c r="E4" s="145" t="str">
        <x:v>WSP-P-001-20260719T101500Z</x:v>
      </x:c>
    </x:row>
    <x:row r="5">
      <x:c r="A5" s="77" t="str">
        <x:v>packet_id</x:v>
      </x:c>
      <x:c r="B5" s="77" t="str">
        <x:v>string</x:v>
      </x:c>
      <x:c r="C5" s="77" t="str">
        <x:v>Parent workforce packet</x:v>
      </x:c>
      <x:c r="D5" s="77" t="str">
        <x:v>Yes</x:v>
      </x:c>
      <x:c r="E5" s="77" t="str">
        <x:v>WSP-PROMETHEUS-20260719-EDGE-001</x:v>
      </x:c>
    </x:row>
    <x:row r="6">
      <x:c r="A6" s="145" t="str">
        <x:v>task_id</x:v>
      </x:c>
      <x:c r="B6" s="145" t="str">
        <x:v>string</x:v>
      </x:c>
      <x:c r="C6" s="145" t="str">
        <x:v>P-### or X-###</x:v>
      </x:c>
      <x:c r="D6" s="145" t="str">
        <x:v>Yes</x:v>
      </x:c>
      <x:c r="E6" s="145" t="str">
        <x:v>P-001</x:v>
      </x:c>
    </x:row>
    <x:row r="7">
      <x:c r="A7" s="77" t="str">
        <x:v>timestamp</x:v>
      </x:c>
      <x:c r="B7" s="77" t="str">
        <x:v>ISO-8601</x:v>
      </x:c>
      <x:c r="C7" s="77" t="str">
        <x:v>Completion or blocker time</x:v>
      </x:c>
      <x:c r="D7" s="77" t="str">
        <x:v>Yes</x:v>
      </x:c>
      <x:c r="E7" s="77" t="n">
        <x:v>46222.71875</x:v>
      </x:c>
    </x:row>
    <x:row r="8">
      <x:c r="A8" s="145" t="str">
        <x:v>surface</x:v>
      </x:c>
      <x:c r="B8" s="145" t="str">
        <x:v>enum</x:v>
      </x:c>
      <x:c r="C8" s="145" t="str">
        <x:v>WORK, CODEX, HYBRID, HUMAN</x:v>
      </x:c>
      <x:c r="D8" s="145" t="str">
        <x:v>Yes</x:v>
      </x:c>
      <x:c r="E8" s="145" t="str">
        <x:v>CODEX</x:v>
      </x:c>
    </x:row>
    <x:row r="9">
      <x:c r="A9" s="77" t="str">
        <x:v>active_roles</x:v>
      </x:c>
      <x:c r="B9" s="77" t="str">
        <x:v>array</x:v>
      </x:c>
      <x:c r="C9" s="77" t="str">
        <x:v>Sparse role bundle</x:v>
      </x:c>
      <x:c r="D9" s="77" t="str">
        <x:v>Yes</x:v>
      </x:c>
      <x:c r="E9" s="77" t="str">
        <x:v>[Local Windows Operator, Thoth Evidence Clerk]</x:v>
      </x:c>
    </x:row>
    <x:row r="10">
      <x:c r="A10" s="145" t="str">
        <x:v>status</x:v>
      </x:c>
      <x:c r="B10" s="145" t="str">
        <x:v>enum</x:v>
      </x:c>
      <x:c r="C10" s="145" t="str">
        <x:v>Allowed task state</x:v>
      </x:c>
      <x:c r="D10" s="145" t="str">
        <x:v>Yes</x:v>
      </x:c>
      <x:c r="E10" s="145" t="str">
        <x:v>Local Verified</x:v>
      </x:c>
    </x:row>
    <x:row r="11">
      <x:c r="A11" s="77" t="str">
        <x:v>inputs</x:v>
      </x:c>
      <x:c r="B11" s="77" t="str">
        <x:v>array</x:v>
      </x:c>
      <x:c r="C11" s="77" t="str">
        <x:v>Files, refs, prompts, hashes</x:v>
      </x:c>
      <x:c r="D11" s="77" t="str">
        <x:v>Yes</x:v>
      </x:c>
      <x:c r="E11" s="77" t="str">
        <x:v>[...]</x:v>
      </x:c>
    </x:row>
    <x:row r="12">
      <x:c r="A12" s="145" t="str">
        <x:v>actions</x:v>
      </x:c>
      <x:c r="B12" s="145" t="str">
        <x:v>array</x:v>
      </x:c>
      <x:c r="C12" s="145" t="str">
        <x:v>Commands or connector actions</x:v>
      </x:c>
      <x:c r="D12" s="145" t="str">
        <x:v>Yes</x:v>
      </x:c>
      <x:c r="E12" s="145" t="str">
        <x:v>[...]</x:v>
      </x:c>
    </x:row>
    <x:row r="13">
      <x:c r="A13" s="77" t="str">
        <x:v>outputs</x:v>
      </x:c>
      <x:c r="B13" s="77" t="str">
        <x:v>array</x:v>
      </x:c>
      <x:c r="C13" s="77" t="str">
        <x:v>Artifacts or external references</x:v>
      </x:c>
      <x:c r="D13" s="77" t="str">
        <x:v>Yes</x:v>
      </x:c>
      <x:c r="E13" s="77" t="str">
        <x:v>[...]</x:v>
      </x:c>
    </x:row>
    <x:row r="14">
      <x:c r="A14" s="145" t="str">
        <x:v>tests</x:v>
      </x:c>
      <x:c r="B14" s="145" t="str">
        <x:v>array</x:v>
      </x:c>
      <x:c r="C14" s="145" t="str">
        <x:v>Direct and reverse checks</x:v>
      </x:c>
      <x:c r="D14" s="145" t="str">
        <x:v>Yes</x:v>
      </x:c>
      <x:c r="E14" s="145" t="str">
        <x:v>[...]</x:v>
      </x:c>
    </x:row>
    <x:row r="15">
      <x:c r="A15" s="77" t="str">
        <x:v>evidence_hashes</x:v>
      </x:c>
      <x:c r="B15" s="77" t="str">
        <x:v>object</x:v>
      </x:c>
      <x:c r="C15" s="77" t="str">
        <x:v>SHA-256 per artifact</x:v>
      </x:c>
      <x:c r="D15" s="77" t="str">
        <x:v>When applicable</x:v>
      </x:c>
      <x:c r="E15" s="77" t="str">
        <x:v>{...}</x:v>
      </x:c>
    </x:row>
    <x:row r="16">
      <x:c r="A16" s="145" t="str">
        <x:v>blocker</x:v>
      </x:c>
      <x:c r="B16" s="145" t="str">
        <x:v>object/null</x:v>
      </x:c>
      <x:c r="C16" s="145" t="str">
        <x:v>Exact blocker and unblock instruction</x:v>
      </x:c>
      <x:c r="D16" s="145" t="str">
        <x:v>If blocked</x:v>
      </x:c>
      <x:c r="E16" s="145" t="str">
        <x:v>null</x:v>
      </x:c>
    </x:row>
    <x:row r="17">
      <x:c r="A17" s="77" t="str">
        <x:v>claim_unlocked</x:v>
      </x:c>
      <x:c r="B17" s="77" t="str">
        <x:v>string</x:v>
      </x:c>
      <x:c r="C17" s="77" t="str">
        <x:v>Bounded claim supported by proof</x:v>
      </x:c>
      <x:c r="D17" s="77" t="str">
        <x:v>Yes</x:v>
      </x:c>
      <x:c r="E17" s="77" t="str">
        <x:v>Authoritative baseline identified</x:v>
      </x:c>
    </x:row>
    <x:row r="18">
      <x:c r="A18" s="145" t="str">
        <x:v>verdict</x:v>
      </x:c>
      <x:c r="B18" s="145" t="str">
        <x:v>enum</x:v>
      </x:c>
      <x:c r="C18" s="145" t="str">
        <x:v>pass, fail, blocked, rolled_back</x:v>
      </x:c>
      <x:c r="D18" s="145" t="str">
        <x:v>Yes</x:v>
      </x:c>
      <x:c r="E18" s="145" t="str">
        <x:v>pass</x:v>
      </x:c>
    </x:row>
    <x:row r="19">
      <x:c r="A19" t="str">
        <x:v>next_task</x:v>
      </x:c>
      <x:c r="B19" t="str">
        <x:v>string/null</x:v>
      </x:c>
      <x:c r="C19" t="str">
        <x:v>Next deterministic task</x:v>
      </x:c>
      <x:c r="D19" t="str">
        <x:v>Yes</x:v>
      </x:c>
      <x:c r="E19" t="str">
        <x:v>P-002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4bc725ad4a8489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48" hidden="0" customWidth="1"/>
    <x:col min="4" max="4" width="48" hidden="0" customWidth="1"/>
    <x:col min="5" max="5" width="42" hidden="0" customWidth="1"/>
  </x:cols>
  <x:sheetData>
    <x:row r="1" ht="30" customHeight="1">
      <x:c r="A1" s="111" t="str">
        <x:v>LAUNCH LIBRARY | WORK + CODEX + POWERSHELL</x:v>
      </x:c>
      <x:c r="B1" s="111"/>
      <x:c r="C1" s="111"/>
      <x:c r="D1" s="111"/>
      <x:c r="E1" s="111"/>
      <x:c r="F1" s="111"/>
    </x:row>
    <x:row r="3" ht="24" customHeight="1">
      <x:c r="A3" s="122" t="str">
        <x:v>Artifact</x:v>
      </x:c>
      <x:c r="B3" s="122" t="str">
        <x:v>Surface</x:v>
      </x:c>
      <x:c r="C3" s="122" t="str">
        <x:v>Purpose</x:v>
      </x:c>
      <x:c r="D3" s="122" t="str">
        <x:v>Invocation</x:v>
      </x:c>
      <x:c r="E3" s="122" t="str">
        <x:v>Non-Negotiable</x:v>
      </x:c>
    </x:row>
    <x:row r="4">
      <x:c r="A4" s="141" t="str">
        <x:v>WORKFORCE_SPINE_MASTER_PROMPT.md</x:v>
      </x:c>
      <x:c r="B4" s="141" t="str">
        <x:v>Both</x:v>
      </x:c>
      <x:c r="C4" s="141" t="str">
        <x:v>Complete operating contract and dual-surface mission.</x:v>
      </x:c>
      <x:c r="D4" s="141" t="str">
        <x:v>Attach workbook + JSON, then use as controlling prompt.</x:v>
      </x:c>
      <x:c r="E4" s="141" t="str">
        <x:v>Do not stop after planning.</x:v>
      </x:c>
    </x:row>
    <x:row r="5">
      <x:c r="A5" s="77" t="str">
        <x:v>CHATGPT_WORK_LAUNCH_PROMPT.md</x:v>
      </x:c>
      <x:c r="B5" s="77" t="str">
        <x:v>ChatGPT Work</x:v>
      </x:c>
      <x:c r="C5" s="77" t="str">
        <x:v>Research, artifacts, connectors, compliance, and unknown knowledge work.</x:v>
      </x:c>
      <x:c r="D5" s="77" t="str">
        <x:v>Select Work and paste the prompt with packet files attached.</x:v>
      </x:c>
      <x:c r="E5" s="77" t="str">
        <x:v>Emit Codex handoffs for technical work.</x:v>
      </x:c>
    </x:row>
    <x:row r="6">
      <x:c r="A6" s="141" t="str">
        <x:v>CODEX_EXECUTION_PROMPT.md</x:v>
      </x:c>
      <x:c r="B6" s="141" t="str">
        <x:v>Codex</x:v>
      </x:c>
      <x:c r="C6" s="141" t="str">
        <x:v>Repository, Git, build, test, CI, runtime, and technical proof.</x:v>
      </x:c>
      <x:c r="D6" s="141" t="str">
        <x:v>Open repository in Codex or run through launcher.</x:v>
      </x:c>
      <x:c r="E6" s="141" t="str">
        <x:v>Execute in dependency order.</x:v>
      </x:c>
    </x:row>
    <x:row r="7">
      <x:c r="A7" s="77" t="str">
        <x:v>AGENTS.md</x:v>
      </x:c>
      <x:c r="B7" s="77" t="str">
        <x:v>Codex repository rules</x:v>
      </x:c>
      <x:c r="C7" s="77" t="str">
        <x:v>Persistent repository operating law.</x:v>
      </x:c>
      <x:c r="D7" s="77" t="str">
        <x:v>Place under workforce_spine/ or repository root.</x:v>
      </x:c>
      <x:c r="E7" s="77" t="str">
        <x:v>Patch, preserve, verify, promote.</x:v>
      </x:c>
    </x:row>
    <x:row r="8">
      <x:c r="A8" s="141" t="str">
        <x:v>Invoke-PROMETHEUS-WorkforceSpine.ps1</x:v>
      </x:c>
      <x:c r="B8" s="141" t="str">
        <x:v>PowerShell</x:v>
      </x:c>
      <x:c r="C8" s="141" t="str">
        <x:v>Install packet into repo, hash it, and launch codex exec.</x:v>
      </x:c>
      <x:c r="D8" s="141" t="str">
        <x:v>Run from packet directory with -RepoRoot.</x:v>
      </x:c>
      <x:c r="E8" s="141" t="str">
        <x:v>Use -PrepareOnly for install without launch.</x:v>
      </x:c>
    </x:row>
    <x:row r="9">
      <x:c r="A9" s="77" t="str">
        <x:v>PROMETHEUS_WORKFORCE_SPINE_PACKET.json</x:v>
      </x:c>
      <x:c r="B9" s="77" t="str">
        <x:v>Both</x:v>
      </x:c>
      <x:c r="C9" s="77" t="str">
        <x:v>Machine-readable tasks, roles, routes, proof gates, risks, and edge trials.</x:v>
      </x:c>
      <x:c r="D9" s="77" t="str">
        <x:v>Treat as canonical queue substrate.</x:v>
      </x:c>
      <x:c r="E9" s="77" t="str">
        <x:v>Preserve IDs and emit receipts.</x:v>
      </x:c>
    </x:row>
    <x:row r="12" ht="24" customHeight="1">
      <x:c r="A12" s="138" t="str">
        <x:v>PowerShell Quick Launch</x:v>
      </x:c>
      <x:c r="B12" s="138"/>
      <x:c r="C12" s="138"/>
      <x:c r="D12" s="138"/>
      <x:c r="E12" s="138"/>
    </x:row>
    <x:row r="13">
      <x:c r="A13" s="148" t="str">
        <x:v>Set-ExecutionPolicy -Scope Process Bypass -Force
&amp; ".\Invoke-PROMETHEUS-WorkforceSpine.ps1" -RepoRoot "C:\Ghost\PROMETHEUS-V-1.1.1" -CopyWorkPrompt</x:v>
      </x:c>
      <x:c r="B13" s="148"/>
      <x:c r="C13" s="148"/>
      <x:c r="D13" s="148"/>
      <x:c r="E13" s="148"/>
    </x:row>
    <x:row r="14">
      <x:c r="A14" s="148"/>
      <x:c r="B14" s="148"/>
      <x:c r="C14" s="148"/>
      <x:c r="D14" s="148"/>
      <x:c r="E14" s="148"/>
    </x:row>
    <x:row r="15">
      <x:c r="A15" s="148"/>
      <x:c r="B15" s="148"/>
      <x:c r="C15" s="148"/>
      <x:c r="D15" s="148"/>
      <x:c r="E15" s="148"/>
    </x:row>
  </x:sheetData>
  <x:mergeCells>
    <x:mergeCell ref="A1:F1"/>
    <x:mergeCell ref="A12:E12"/>
    <x:mergeCell ref="A13:E15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70" hidden="0" customWidth="1"/>
    <x:col min="4" max="4" width="16" hidden="0" customWidth="1"/>
  </x:cols>
  <x:sheetData>
    <x:row r="1" ht="30" customHeight="1">
      <x:c r="A1" s="111" t="str">
        <x:v>CURRENT CHATGPT WORK + CODEX SURFACE NOTES</x:v>
      </x:c>
      <x:c r="B1" s="111"/>
      <x:c r="C1" s="111"/>
      <x:c r="D1" s="111"/>
    </x:row>
    <x:row r="3" ht="24" customHeight="1">
      <x:c r="A3" s="138" t="str">
        <x:v>Source</x:v>
      </x:c>
      <x:c r="B3" s="138" t="str">
        <x:v>Capability Used in Packet</x:v>
      </x:c>
      <x:c r="C3" s="138" t="str">
        <x:v>URL</x:v>
      </x:c>
      <x:c r="D3" s="138" t="str">
        <x:v>Accessed</x:v>
      </x:c>
    </x:row>
    <x:row r="4">
      <x:c r="A4" s="77" t="str">
        <x:v>ChatGPT Work overview</x:v>
      </x:c>
      <x:c r="B4" s="77" t="str">
        <x:v>ChatGPT Work can gather context across apps/files, break complex projects into steps, and create finished materials.</x:v>
      </x:c>
      <x:c r="C4" s="77" t="str">
        <x:v>https://openai.com/index/chatgpt-for-your-most-ambitious-work/</x:v>
      </x:c>
      <x:c r="D4" s="77" t="str">
        <x:v>2026-07-19</x:v>
      </x:c>
    </x:row>
    <x:row r="5">
      <x:c r="A5" s="77" t="str">
        <x:v>Work surface</x:v>
      </x:c>
      <x:c r="B5" s="77" t="str">
        <x:v>Work is oriented toward research and finished documents, spreadsheets, presentations, reports, and sites.</x:v>
      </x:c>
      <x:c r="C5" s="77" t="str">
        <x:v>https://help.openai.com/en/articles/20001275-chatgpt-work-and-codex</x:v>
      </x:c>
      <x:c r="D5" s="77" t="str">
        <x:v>2026-07-19</x:v>
      </x:c>
    </x:row>
    <x:row r="6">
      <x:c r="A6" s="77" t="str">
        <x:v>Codex surface</x:v>
      </x:c>
      <x:c r="B6" s="77" t="str">
        <x:v>Codex is the dedicated software/repository/terminal agent.</x:v>
      </x:c>
      <x:c r="C6" s="77" t="str">
        <x:v>https://help.openai.com/en/articles/20001275-chatgpt-work-and-codex</x:v>
      </x:c>
      <x:c r="D6" s="77" t="str">
        <x:v>2026-07-19</x:v>
      </x:c>
    </x:row>
    <x:row r="7">
      <x:c r="A7" s="77" t="str">
        <x:v>Codex non-interactive</x:v>
      </x:c>
      <x:c r="B7" s="77" t="str">
        <x:v>codex exec supports scripted runs, JSONL output, explicit sandbox settings, and structured output schemas.</x:v>
      </x:c>
      <x:c r="C7" s="77" t="str">
        <x:v>https://developers.openai.com/codex/non-interactive-mode</x:v>
      </x:c>
      <x:c r="D7" s="77" t="str">
        <x:v>2026-07-19</x:v>
      </x:c>
    </x:row>
    <x:row r="8">
      <x:c r="A8" t="str">
        <x:v>Codex permissions</x:v>
      </x:c>
      <x:c r="B8" t="str">
        <x:v>Use least permissions; workspace-write is the current non-interactive edit mode.</x:v>
      </x:c>
      <x:c r="C8" t="str">
        <x:v>https://developers.openai.com/codex/agent-approvals-security</x:v>
      </x:c>
      <x:c r="D8" t="str">
        <x:v>2026-07-19</x:v>
      </x:c>
    </x:row>
  </x:sheetData>
  <x:mergeCells>
    <x:mergeCell ref="A1:D1"/>
  </x:mergeCells>
  <x:pageMargins left="0.7" right="0.7" top="0.75" bottom="0.75" header="0.3" footer="0.3"/>
</x:worksheet>
</file>